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work\RK3576\RK3576叠构\"/>
    </mc:Choice>
  </mc:AlternateContent>
  <bookViews>
    <workbookView xWindow="0" yWindow="0" windowWidth="28125" windowHeight="12480" tabRatio="885"/>
  </bookViews>
  <sheets>
    <sheet name="1.0通孔" sheetId="30" r:id="rId1"/>
    <sheet name="阻抗计算" sheetId="31" r:id="rId2"/>
  </sheets>
  <calcPr calcId="162913"/>
</workbook>
</file>

<file path=xl/calcChain.xml><?xml version="1.0" encoding="utf-8"?>
<calcChain xmlns="http://schemas.openxmlformats.org/spreadsheetml/2006/main">
  <c r="E11" i="30" l="1"/>
  <c r="E15" i="30"/>
  <c r="E19" i="30"/>
  <c r="C22" i="30"/>
  <c r="C23" i="30" s="1"/>
</calcChain>
</file>

<file path=xl/sharedStrings.xml><?xml version="1.0" encoding="utf-8"?>
<sst xmlns="http://schemas.openxmlformats.org/spreadsheetml/2006/main" count="99" uniqueCount="73">
  <si>
    <r>
      <t>8</t>
    </r>
    <r>
      <rPr>
        <b/>
        <sz val="11"/>
        <rFont val="宋体"/>
        <family val="3"/>
        <charset val="134"/>
      </rPr>
      <t>层通孔</t>
    </r>
    <r>
      <rPr>
        <b/>
        <sz val="11"/>
        <rFont val="Calibri"/>
        <family val="2"/>
      </rPr>
      <t>1.6+/-0.16mm</t>
    </r>
  </si>
  <si>
    <t>50 ohm</t>
  </si>
  <si>
    <t>80 ohm</t>
  </si>
  <si>
    <t>85 ohm</t>
  </si>
  <si>
    <t>90 ohm</t>
  </si>
  <si>
    <t>100 ohm</t>
  </si>
  <si>
    <t>Layer</t>
  </si>
  <si>
    <t xml:space="preserve">Mother Board </t>
  </si>
  <si>
    <t xml:space="preserve">Typical layer thickness (mil) </t>
  </si>
  <si>
    <t xml:space="preserve">Dielectric Constant </t>
  </si>
  <si>
    <t>DF</t>
  </si>
  <si>
    <t xml:space="preserve">Solder Mask </t>
  </si>
  <si>
    <t>L1</t>
  </si>
  <si>
    <t>1/3oz+plating</t>
  </si>
  <si>
    <t>Prepreg(1080  )</t>
  </si>
  <si>
    <t>L2</t>
  </si>
  <si>
    <t>copper</t>
  </si>
  <si>
    <t>Core</t>
  </si>
  <si>
    <t>L3</t>
  </si>
  <si>
    <t>Prepreg (1080  )</t>
  </si>
  <si>
    <t>L4</t>
  </si>
  <si>
    <t>L5</t>
  </si>
  <si>
    <t>L6</t>
  </si>
  <si>
    <t>L7</t>
  </si>
  <si>
    <t>Prepreg(1080 )</t>
  </si>
  <si>
    <t>L8</t>
  </si>
  <si>
    <t>单端L1 /L8  40 Ohm</t>
  </si>
  <si>
    <t>单端L1 /L8  45 Ohm</t>
  </si>
  <si>
    <t>单端L1 /L8  50 Ohm</t>
  </si>
  <si>
    <t>L1 /L8  80 Ohm</t>
  </si>
  <si>
    <t>L1 /L8  85 Ohm</t>
  </si>
  <si>
    <t>L1 /L8  90 Ohm</t>
  </si>
  <si>
    <t>L1 /L8  100 Ohm</t>
  </si>
  <si>
    <t xml:space="preserve"> </t>
  </si>
  <si>
    <t>单端L3/L6 40 Ohm</t>
  </si>
  <si>
    <t>单端L3/L6 45 Ohm</t>
  </si>
  <si>
    <r>
      <t>单端L</t>
    </r>
    <r>
      <rPr>
        <b/>
        <sz val="11"/>
        <color indexed="10"/>
        <rFont val="宋体"/>
        <family val="3"/>
        <charset val="134"/>
      </rPr>
      <t>3/</t>
    </r>
    <r>
      <rPr>
        <b/>
        <sz val="11"/>
        <color indexed="10"/>
        <rFont val="宋体"/>
        <family val="3"/>
        <charset val="134"/>
      </rPr>
      <t>L6  50 Ohm</t>
    </r>
  </si>
  <si>
    <t>L3/L6  80 Ohm</t>
  </si>
  <si>
    <t>L3/L6  85 Ohm</t>
  </si>
  <si>
    <t>L3/L6  90 Ohm</t>
  </si>
  <si>
    <t>L3/L6  100 Ohm</t>
  </si>
  <si>
    <t>参考第三层</t>
    <phoneticPr fontId="8" type="noConversion"/>
  </si>
  <si>
    <t xml:space="preserve"> </t>
    <phoneticPr fontId="8" type="noConversion"/>
  </si>
  <si>
    <t xml:space="preserve">                          Impedance
  Reference Layer</t>
    <phoneticPr fontId="8" type="noConversion"/>
  </si>
  <si>
    <t>55 ohm</t>
    <phoneticPr fontId="8" type="noConversion"/>
  </si>
  <si>
    <t>width</t>
    <phoneticPr fontId="8" type="noConversion"/>
  </si>
  <si>
    <t>width/space</t>
    <phoneticPr fontId="8" type="noConversion"/>
  </si>
  <si>
    <t>5/3.8</t>
    <phoneticPr fontId="8" type="noConversion"/>
  </si>
  <si>
    <t>3.85/4.95</t>
    <phoneticPr fontId="8" type="noConversion"/>
  </si>
  <si>
    <t>L3</t>
    <phoneticPr fontId="8" type="noConversion"/>
  </si>
  <si>
    <t>3.5/5.3</t>
    <phoneticPr fontId="8" type="noConversion"/>
  </si>
  <si>
    <t>40 ohm</t>
    <phoneticPr fontId="8" type="noConversion"/>
  </si>
  <si>
    <t>45 ohm</t>
    <phoneticPr fontId="8" type="noConversion"/>
  </si>
  <si>
    <t>95 ohm</t>
    <phoneticPr fontId="8" type="noConversion"/>
  </si>
  <si>
    <t>width</t>
    <phoneticPr fontId="8" type="noConversion"/>
  </si>
  <si>
    <t>width/space</t>
    <phoneticPr fontId="8" type="noConversion"/>
  </si>
  <si>
    <t>Layer</t>
    <phoneticPr fontId="8" type="noConversion"/>
  </si>
  <si>
    <t>Reference Layer</t>
    <phoneticPr fontId="8" type="noConversion"/>
  </si>
  <si>
    <t>L2</t>
    <phoneticPr fontId="8" type="noConversion"/>
  </si>
  <si>
    <t>4.6/4.2</t>
    <phoneticPr fontId="8" type="noConversion"/>
  </si>
  <si>
    <t>4.2/4.6</t>
    <phoneticPr fontId="8" type="noConversion"/>
  </si>
  <si>
    <t>L2/L4</t>
    <phoneticPr fontId="8" type="noConversion"/>
  </si>
  <si>
    <t>4.6/4.2</t>
    <phoneticPr fontId="8" type="noConversion"/>
  </si>
  <si>
    <r>
      <t>Note: The unit of line width and line spacing is mil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Line space refers to the air gap.</t>
    </r>
    <phoneticPr fontId="8" type="noConversion"/>
  </si>
  <si>
    <t>L6</t>
    <phoneticPr fontId="8" type="noConversion"/>
  </si>
  <si>
    <t>L5/L7</t>
    <phoneticPr fontId="8" type="noConversion"/>
  </si>
  <si>
    <t>L8</t>
    <phoneticPr fontId="8" type="noConversion"/>
  </si>
  <si>
    <t>L7</t>
    <phoneticPr fontId="8" type="noConversion"/>
  </si>
  <si>
    <t>22.5</t>
    <phoneticPr fontId="8" type="noConversion"/>
  </si>
  <si>
    <t>4.7/5.3</t>
    <phoneticPr fontId="8" type="noConversion"/>
  </si>
  <si>
    <t>4.15/5.85</t>
    <phoneticPr fontId="8" type="noConversion"/>
  </si>
  <si>
    <t>3.7/6.3</t>
    <phoneticPr fontId="8" type="noConversion"/>
  </si>
  <si>
    <t>3.5/8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</si>
</sst>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_ "/>
    <numFmt numFmtId="178" formatCode="0.00_ "/>
  </numFmts>
  <fonts count="16">
    <font>
      <sz val="11"/>
      <color indexed="8"/>
      <name val="宋体"/>
      <charset val="134"/>
    </font>
    <font>
      <b/>
      <sz val="11"/>
      <color indexed="10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b/>
      <sz val="11"/>
      <name val="Calibri"/>
      <family val="2"/>
    </font>
    <font>
      <sz val="11"/>
      <name val="돋움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90">
    <xf numFmtId="0" fontId="0" fillId="0" borderId="0" xfId="0">
      <alignment vertical="center"/>
    </xf>
    <xf numFmtId="0" fontId="9" fillId="8" borderId="0" xfId="0" applyFont="1" applyFill="1" applyBorder="1" applyAlignment="1">
      <alignment vertical="center"/>
    </xf>
    <xf numFmtId="0" fontId="10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76" fontId="2" fillId="5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76" fontId="2" fillId="6" borderId="1" xfId="0" applyNumberFormat="1" applyFont="1" applyFill="1" applyBorder="1" applyAlignment="1">
      <alignment horizontal="center"/>
    </xf>
    <xf numFmtId="178" fontId="2" fillId="6" borderId="1" xfId="0" applyNumberFormat="1" applyFont="1" applyFill="1" applyBorder="1" applyAlignment="1">
      <alignment horizontal="center"/>
    </xf>
    <xf numFmtId="177" fontId="2" fillId="6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0" fontId="12" fillId="0" borderId="0" xfId="0" applyFont="1" applyBorder="1">
      <alignment vertical="center"/>
    </xf>
    <xf numFmtId="0" fontId="2" fillId="8" borderId="1" xfId="0" applyFont="1" applyFill="1" applyBorder="1" applyAlignment="1">
      <alignment horizontal="center"/>
    </xf>
    <xf numFmtId="177" fontId="2" fillId="8" borderId="1" xfId="0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4" fillId="7" borderId="2" xfId="0" applyFont="1" applyFill="1" applyBorder="1" applyAlignment="1">
      <alignment horizontal="left" vertical="center"/>
    </xf>
    <xf numFmtId="49" fontId="13" fillId="9" borderId="3" xfId="0" applyNumberFormat="1" applyFont="1" applyFill="1" applyBorder="1" applyAlignment="1">
      <alignment horizontal="left" vertical="center" wrapText="1"/>
    </xf>
    <xf numFmtId="49" fontId="13" fillId="9" borderId="4" xfId="0" applyNumberFormat="1" applyFont="1" applyFill="1" applyBorder="1" applyAlignment="1">
      <alignment horizontal="left" vertical="center" wrapText="1"/>
    </xf>
    <xf numFmtId="49" fontId="13" fillId="10" borderId="1" xfId="0" applyNumberFormat="1" applyFont="1" applyFill="1" applyBorder="1" applyAlignment="1">
      <alignment horizontal="center" vertical="center" wrapText="1"/>
    </xf>
    <xf numFmtId="49" fontId="13" fillId="11" borderId="1" xfId="0" applyNumberFormat="1" applyFont="1" applyFill="1" applyBorder="1" applyAlignment="1">
      <alignment horizontal="center" vertical="center" wrapText="1"/>
    </xf>
    <xf numFmtId="49" fontId="13" fillId="10" borderId="5" xfId="0" applyNumberFormat="1" applyFont="1" applyFill="1" applyBorder="1" applyAlignment="1">
      <alignment horizontal="center" vertical="center" wrapText="1"/>
    </xf>
    <xf numFmtId="49" fontId="13" fillId="11" borderId="5" xfId="0" applyNumberFormat="1" applyFont="1" applyFill="1" applyBorder="1" applyAlignment="1">
      <alignment horizontal="center" vertical="center" wrapText="1"/>
    </xf>
    <xf numFmtId="49" fontId="13" fillId="9" borderId="6" xfId="0" applyNumberFormat="1" applyFont="1" applyFill="1" applyBorder="1" applyAlignment="1">
      <alignment horizontal="left" vertical="center" wrapText="1"/>
    </xf>
    <xf numFmtId="49" fontId="13" fillId="9" borderId="7" xfId="0" applyNumberFormat="1" applyFont="1" applyFill="1" applyBorder="1" applyAlignment="1">
      <alignment horizontal="left" vertical="center" wrapText="1"/>
    </xf>
    <xf numFmtId="49" fontId="14" fillId="9" borderId="1" xfId="0" applyNumberFormat="1" applyFont="1" applyFill="1" applyBorder="1" applyAlignment="1">
      <alignment horizontal="center" vertical="center" wrapText="1"/>
    </xf>
    <xf numFmtId="49" fontId="13" fillId="10" borderId="1" xfId="0" applyNumberFormat="1" applyFont="1" applyFill="1" applyBorder="1" applyAlignment="1">
      <alignment horizontal="left" vertical="center" wrapText="1"/>
    </xf>
    <xf numFmtId="49" fontId="13" fillId="11" borderId="1" xfId="0" applyNumberFormat="1" applyFont="1" applyFill="1" applyBorder="1" applyAlignment="1">
      <alignment horizontal="left" vertical="center" wrapText="1"/>
    </xf>
    <xf numFmtId="49" fontId="13" fillId="10" borderId="1" xfId="0" applyNumberFormat="1" applyFont="1" applyFill="1" applyBorder="1" applyAlignment="1">
      <alignment horizontal="center" vertical="center"/>
    </xf>
    <xf numFmtId="49" fontId="13" fillId="11" borderId="1" xfId="0" applyNumberFormat="1" applyFont="1" applyFill="1" applyBorder="1" applyAlignment="1">
      <alignment horizontal="center" vertical="center"/>
    </xf>
    <xf numFmtId="49" fontId="13" fillId="10" borderId="1" xfId="0" applyNumberFormat="1" applyFont="1" applyFill="1" applyBorder="1">
      <alignment vertical="center"/>
    </xf>
    <xf numFmtId="49" fontId="14" fillId="9" borderId="1" xfId="0" applyNumberFormat="1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3" fillId="11" borderId="1" xfId="0" applyNumberFormat="1" applyFont="1" applyFill="1" applyBorder="1">
      <alignment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49" fontId="15" fillId="10" borderId="1" xfId="0" applyNumberFormat="1" applyFont="1" applyFill="1" applyBorder="1" applyAlignment="1">
      <alignment horizontal="center" vertical="center"/>
    </xf>
    <xf numFmtId="0" fontId="13" fillId="11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58" fontId="2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58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3" fillId="10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표준_06SN_A 표준 층구성_HDIPCB叠层-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600075</xdr:colOff>
      <xdr:row>13</xdr:row>
      <xdr:rowOff>76200</xdr:rowOff>
    </xdr:to>
    <xdr:pic>
      <xdr:nvPicPr>
        <xdr:cNvPr id="2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1450"/>
          <a:ext cx="4029075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542925</xdr:colOff>
      <xdr:row>12</xdr:row>
      <xdr:rowOff>95250</xdr:rowOff>
    </xdr:to>
    <xdr:pic>
      <xdr:nvPicPr>
        <xdr:cNvPr id="23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71450"/>
          <a:ext cx="39719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657225</xdr:colOff>
      <xdr:row>12</xdr:row>
      <xdr:rowOff>57150</xdr:rowOff>
    </xdr:to>
    <xdr:pic>
      <xdr:nvPicPr>
        <xdr:cNvPr id="24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71450"/>
          <a:ext cx="40862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</xdr:row>
      <xdr:rowOff>133350</xdr:rowOff>
    </xdr:from>
    <xdr:to>
      <xdr:col>24</xdr:col>
      <xdr:colOff>295275</xdr:colOff>
      <xdr:row>11</xdr:row>
      <xdr:rowOff>47625</xdr:rowOff>
    </xdr:to>
    <xdr:pic>
      <xdr:nvPicPr>
        <xdr:cNvPr id="25" name="图片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5025" y="304800"/>
          <a:ext cx="345757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342900</xdr:colOff>
      <xdr:row>1</xdr:row>
      <xdr:rowOff>95250</xdr:rowOff>
    </xdr:from>
    <xdr:to>
      <xdr:col>30</xdr:col>
      <xdr:colOff>171450</xdr:colOff>
      <xdr:row>12</xdr:row>
      <xdr:rowOff>57150</xdr:rowOff>
    </xdr:to>
    <xdr:pic>
      <xdr:nvPicPr>
        <xdr:cNvPr id="26" name="图片 14" descr="C:\Users\admin\AppData\Roaming\Tencent\Users\568756086\QQ\WinTemp\RichOle\FS6((E~75_P4R@B@@L@11CX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0225" y="266700"/>
          <a:ext cx="40481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600075</xdr:colOff>
      <xdr:row>1</xdr:row>
      <xdr:rowOff>142875</xdr:rowOff>
    </xdr:from>
    <xdr:to>
      <xdr:col>36</xdr:col>
      <xdr:colOff>571500</xdr:colOff>
      <xdr:row>12</xdr:row>
      <xdr:rowOff>114300</xdr:rowOff>
    </xdr:to>
    <xdr:pic>
      <xdr:nvPicPr>
        <xdr:cNvPr id="27" name="图片 15" descr="C:\Users\admin\AppData\Roaming\Tencent\Users\568756086\QQ\WinTemp\RichOle\ZB`TEUX6~U71PNY90`1`EGL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16975" y="314325"/>
          <a:ext cx="408622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38100</xdr:colOff>
      <xdr:row>1</xdr:row>
      <xdr:rowOff>19050</xdr:rowOff>
    </xdr:from>
    <xdr:to>
      <xdr:col>51</xdr:col>
      <xdr:colOff>285750</xdr:colOff>
      <xdr:row>13</xdr:row>
      <xdr:rowOff>28575</xdr:rowOff>
    </xdr:to>
    <xdr:pic>
      <xdr:nvPicPr>
        <xdr:cNvPr id="28" name="图片 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0" y="190500"/>
          <a:ext cx="43624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28575</xdr:colOff>
      <xdr:row>18</xdr:row>
      <xdr:rowOff>66675</xdr:rowOff>
    </xdr:from>
    <xdr:to>
      <xdr:col>24</xdr:col>
      <xdr:colOff>771525</xdr:colOff>
      <xdr:row>27</xdr:row>
      <xdr:rowOff>28575</xdr:rowOff>
    </xdr:to>
    <xdr:pic>
      <xdr:nvPicPr>
        <xdr:cNvPr id="29" name="图片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3152775"/>
          <a:ext cx="39052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37</xdr:col>
      <xdr:colOff>19050</xdr:colOff>
      <xdr:row>1</xdr:row>
      <xdr:rowOff>114300</xdr:rowOff>
    </xdr:from>
    <xdr:to>
      <xdr:col>43</xdr:col>
      <xdr:colOff>381000</xdr:colOff>
      <xdr:row>14</xdr:row>
      <xdr:rowOff>9525</xdr:rowOff>
    </xdr:to>
    <xdr:pic>
      <xdr:nvPicPr>
        <xdr:cNvPr id="30" name="图片 12" descr="C:\Users\admin\AppData\Roaming\Tencent\Users\568756086\QQ\WinTemp\RichOle\Z)TU@XG5[`785HDXN4M48QF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6550" y="285750"/>
          <a:ext cx="447675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19050</xdr:colOff>
      <xdr:row>18</xdr:row>
      <xdr:rowOff>0</xdr:rowOff>
    </xdr:from>
    <xdr:to>
      <xdr:col>25</xdr:col>
      <xdr:colOff>19050</xdr:colOff>
      <xdr:row>27</xdr:row>
      <xdr:rowOff>114300</xdr:rowOff>
    </xdr:to>
    <xdr:pic>
      <xdr:nvPicPr>
        <xdr:cNvPr id="31" name="图片 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4075" y="3086100"/>
          <a:ext cx="39528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704850</xdr:colOff>
      <xdr:row>1</xdr:row>
      <xdr:rowOff>38100</xdr:rowOff>
    </xdr:from>
    <xdr:to>
      <xdr:col>24</xdr:col>
      <xdr:colOff>352425</xdr:colOff>
      <xdr:row>11</xdr:row>
      <xdr:rowOff>47625</xdr:rowOff>
    </xdr:to>
    <xdr:pic>
      <xdr:nvPicPr>
        <xdr:cNvPr id="32" name="图片 4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9300" y="209550"/>
          <a:ext cx="360045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19</xdr:col>
      <xdr:colOff>733425</xdr:colOff>
      <xdr:row>28</xdr:row>
      <xdr:rowOff>38100</xdr:rowOff>
    </xdr:to>
    <xdr:pic>
      <xdr:nvPicPr>
        <xdr:cNvPr id="33" name="图片 4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3086100"/>
          <a:ext cx="416242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6</xdr:col>
      <xdr:colOff>657225</xdr:colOff>
      <xdr:row>28</xdr:row>
      <xdr:rowOff>47625</xdr:rowOff>
    </xdr:to>
    <xdr:pic>
      <xdr:nvPicPr>
        <xdr:cNvPr id="34" name="图片 5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086100"/>
          <a:ext cx="40862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13</xdr:col>
      <xdr:colOff>323850</xdr:colOff>
      <xdr:row>28</xdr:row>
      <xdr:rowOff>123825</xdr:rowOff>
    </xdr:to>
    <xdr:pic>
      <xdr:nvPicPr>
        <xdr:cNvPr id="35" name="图片 6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086100"/>
          <a:ext cx="44386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30</xdr:col>
      <xdr:colOff>514350</xdr:colOff>
      <xdr:row>27</xdr:row>
      <xdr:rowOff>114300</xdr:rowOff>
    </xdr:to>
    <xdr:pic>
      <xdr:nvPicPr>
        <xdr:cNvPr id="36" name="图片 7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7900" y="3086100"/>
          <a:ext cx="394335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561975</xdr:colOff>
      <xdr:row>17</xdr:row>
      <xdr:rowOff>152400</xdr:rowOff>
    </xdr:from>
    <xdr:to>
      <xdr:col>36</xdr:col>
      <xdr:colOff>609600</xdr:colOff>
      <xdr:row>28</xdr:row>
      <xdr:rowOff>66675</xdr:rowOff>
    </xdr:to>
    <xdr:pic>
      <xdr:nvPicPr>
        <xdr:cNvPr id="37" name="图片 8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78875" y="3067050"/>
          <a:ext cx="41624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0</xdr:colOff>
      <xdr:row>18</xdr:row>
      <xdr:rowOff>0</xdr:rowOff>
    </xdr:from>
    <xdr:to>
      <xdr:col>53</xdr:col>
      <xdr:colOff>495300</xdr:colOff>
      <xdr:row>32</xdr:row>
      <xdr:rowOff>114300</xdr:rowOff>
    </xdr:to>
    <xdr:pic>
      <xdr:nvPicPr>
        <xdr:cNvPr id="38" name="图片 9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03900" y="3086100"/>
          <a:ext cx="598170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45</xdr:col>
      <xdr:colOff>0</xdr:colOff>
      <xdr:row>34</xdr:row>
      <xdr:rowOff>0</xdr:rowOff>
    </xdr:from>
    <xdr:to>
      <xdr:col>53</xdr:col>
      <xdr:colOff>352425</xdr:colOff>
      <xdr:row>48</xdr:row>
      <xdr:rowOff>142875</xdr:rowOff>
    </xdr:to>
    <xdr:pic>
      <xdr:nvPicPr>
        <xdr:cNvPr id="39" name="图片 10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03900" y="5829300"/>
          <a:ext cx="58388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V52"/>
  <sheetViews>
    <sheetView tabSelected="1" zoomScale="115" zoomScaleNormal="115" workbookViewId="0">
      <selection activeCell="B22" sqref="B22"/>
    </sheetView>
  </sheetViews>
  <sheetFormatPr defaultRowHeight="15"/>
  <cols>
    <col min="1" max="1" width="5.25" style="5" customWidth="1"/>
    <col min="2" max="2" width="19.125" style="5" customWidth="1"/>
    <col min="3" max="3" width="13" style="6" customWidth="1"/>
    <col min="4" max="4" width="10.25" style="5" customWidth="1"/>
    <col min="5" max="5" width="6.5" style="7" customWidth="1"/>
    <col min="6" max="7" width="2" style="5" customWidth="1"/>
    <col min="8" max="8" width="10.125" style="5" customWidth="1"/>
    <col min="9" max="10" width="11.875" style="5" customWidth="1"/>
    <col min="11" max="12" width="13.125" style="5" customWidth="1"/>
    <col min="13" max="13" width="9" style="8" customWidth="1"/>
    <col min="14" max="16" width="9" style="9" customWidth="1"/>
    <col min="17" max="248" width="9" style="5" customWidth="1"/>
    <col min="249" max="16384" width="9" style="10"/>
  </cols>
  <sheetData>
    <row r="2" spans="1:256" ht="30" customHeight="1">
      <c r="A2" s="42" t="s">
        <v>0</v>
      </c>
      <c r="B2" s="42"/>
      <c r="H2" s="43" t="s">
        <v>43</v>
      </c>
      <c r="I2" s="44"/>
      <c r="J2" s="45" t="s">
        <v>51</v>
      </c>
      <c r="K2" s="46" t="s">
        <v>52</v>
      </c>
      <c r="L2" s="45" t="s">
        <v>1</v>
      </c>
      <c r="M2" s="46" t="s">
        <v>44</v>
      </c>
      <c r="N2" s="47" t="s">
        <v>2</v>
      </c>
      <c r="O2" s="48" t="s">
        <v>3</v>
      </c>
      <c r="P2" s="47" t="s">
        <v>4</v>
      </c>
      <c r="Q2" s="48" t="s">
        <v>53</v>
      </c>
      <c r="R2" s="45" t="s">
        <v>5</v>
      </c>
    </row>
    <row r="3" spans="1:256" ht="33" customHeight="1">
      <c r="A3" s="12" t="s">
        <v>6</v>
      </c>
      <c r="B3" s="12" t="s">
        <v>7</v>
      </c>
      <c r="C3" s="13" t="s">
        <v>8</v>
      </c>
      <c r="D3" s="11" t="s">
        <v>9</v>
      </c>
      <c r="E3" s="14" t="s">
        <v>10</v>
      </c>
      <c r="H3" s="49"/>
      <c r="I3" s="50"/>
      <c r="J3" s="45" t="s">
        <v>45</v>
      </c>
      <c r="K3" s="46" t="s">
        <v>54</v>
      </c>
      <c r="L3" s="45" t="s">
        <v>54</v>
      </c>
      <c r="M3" s="46" t="s">
        <v>54</v>
      </c>
      <c r="N3" s="45" t="s">
        <v>46</v>
      </c>
      <c r="O3" s="46" t="s">
        <v>55</v>
      </c>
      <c r="P3" s="45" t="s">
        <v>46</v>
      </c>
      <c r="Q3" s="46" t="s">
        <v>46</v>
      </c>
      <c r="R3" s="45" t="s">
        <v>46</v>
      </c>
    </row>
    <row r="4" spans="1:256" ht="33" customHeight="1">
      <c r="A4" s="12"/>
      <c r="B4" s="15" t="s">
        <v>11</v>
      </c>
      <c r="C4" s="16">
        <v>1.1000000000000001</v>
      </c>
      <c r="D4" s="15"/>
      <c r="E4" s="17"/>
      <c r="F4" s="18"/>
      <c r="G4" s="18"/>
      <c r="H4" s="51" t="s">
        <v>56</v>
      </c>
      <c r="I4" s="51" t="s">
        <v>57</v>
      </c>
      <c r="J4" s="52"/>
      <c r="K4" s="53"/>
      <c r="L4" s="54"/>
      <c r="M4" s="55"/>
      <c r="N4" s="54"/>
      <c r="O4" s="55"/>
      <c r="P4" s="54"/>
      <c r="Q4" s="55"/>
      <c r="R4" s="56"/>
      <c r="S4"/>
    </row>
    <row r="5" spans="1:256" ht="20.25" customHeight="1">
      <c r="A5" s="63" t="s">
        <v>12</v>
      </c>
      <c r="B5" s="67" t="s">
        <v>13</v>
      </c>
      <c r="C5" s="68">
        <v>1.2</v>
      </c>
      <c r="D5" s="65"/>
      <c r="E5" s="65"/>
      <c r="F5" s="21"/>
      <c r="G5" s="21"/>
      <c r="H5" s="57" t="s">
        <v>12</v>
      </c>
      <c r="I5" s="57" t="s">
        <v>58</v>
      </c>
      <c r="J5" s="54">
        <v>6.5</v>
      </c>
      <c r="K5" s="55">
        <v>5.4</v>
      </c>
      <c r="L5" s="54">
        <v>4.5</v>
      </c>
      <c r="M5" s="55">
        <v>3.5</v>
      </c>
      <c r="N5" s="54" t="s">
        <v>47</v>
      </c>
      <c r="O5" s="55" t="s">
        <v>59</v>
      </c>
      <c r="P5" s="54" t="s">
        <v>60</v>
      </c>
      <c r="Q5" s="55" t="s">
        <v>48</v>
      </c>
      <c r="R5" s="54" t="s">
        <v>50</v>
      </c>
    </row>
    <row r="6" spans="1:256" ht="20.25" customHeight="1">
      <c r="A6" s="64"/>
      <c r="B6" s="64"/>
      <c r="C6" s="64"/>
      <c r="D6" s="66"/>
      <c r="E6" s="66"/>
      <c r="F6" s="21"/>
      <c r="G6" s="21"/>
      <c r="H6" s="57" t="s">
        <v>12</v>
      </c>
      <c r="I6" s="57" t="s">
        <v>49</v>
      </c>
      <c r="J6" s="54"/>
      <c r="K6" s="55"/>
      <c r="L6" s="54" t="s">
        <v>68</v>
      </c>
      <c r="M6" s="55"/>
      <c r="N6" s="54"/>
      <c r="O6" s="55"/>
      <c r="P6" s="54"/>
      <c r="Q6" s="55"/>
      <c r="R6" s="69"/>
    </row>
    <row r="7" spans="1:256" s="2" customFormat="1" ht="20.25" customHeight="1">
      <c r="A7" s="22"/>
      <c r="B7" s="23" t="s">
        <v>14</v>
      </c>
      <c r="C7" s="24">
        <v>2.7</v>
      </c>
      <c r="D7" s="25">
        <v>4</v>
      </c>
      <c r="E7" s="26">
        <v>1.9E-2</v>
      </c>
      <c r="F7" s="27"/>
      <c r="G7" s="27"/>
      <c r="H7" s="57"/>
      <c r="I7" s="57"/>
      <c r="J7" s="54"/>
      <c r="K7" s="55"/>
      <c r="L7" s="54"/>
      <c r="M7" s="55"/>
      <c r="N7" s="54"/>
      <c r="O7" s="55"/>
      <c r="P7" s="54"/>
      <c r="Q7" s="55"/>
      <c r="R7" s="69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</row>
    <row r="8" spans="1:256" ht="20.25" customHeight="1">
      <c r="A8" s="12" t="s">
        <v>15</v>
      </c>
      <c r="B8" s="28" t="s">
        <v>16</v>
      </c>
      <c r="C8" s="29">
        <v>1.2</v>
      </c>
      <c r="D8" s="28"/>
      <c r="E8" s="30"/>
      <c r="F8" s="18"/>
      <c r="G8" s="18"/>
      <c r="H8" s="57"/>
      <c r="I8" s="57"/>
      <c r="J8" s="54"/>
      <c r="K8" s="55"/>
      <c r="L8" s="54"/>
      <c r="M8" s="55"/>
      <c r="N8" s="54"/>
      <c r="O8" s="55"/>
      <c r="P8" s="54"/>
      <c r="Q8" s="55"/>
      <c r="R8" s="54"/>
    </row>
    <row r="9" spans="1:256" ht="20.25" customHeight="1">
      <c r="A9" s="12"/>
      <c r="B9" s="31" t="s">
        <v>17</v>
      </c>
      <c r="C9" s="32">
        <v>7.1</v>
      </c>
      <c r="D9" s="31">
        <v>4.2</v>
      </c>
      <c r="E9" s="33">
        <v>1.4999999999999999E-2</v>
      </c>
      <c r="F9" s="18"/>
      <c r="G9" s="18"/>
      <c r="H9" s="57"/>
      <c r="I9" s="57"/>
      <c r="J9" s="54"/>
      <c r="K9" s="55"/>
      <c r="L9" s="54"/>
      <c r="M9" s="55"/>
      <c r="N9" s="54"/>
      <c r="O9" s="55"/>
      <c r="P9" s="54"/>
      <c r="Q9" s="55"/>
      <c r="R9" s="54"/>
    </row>
    <row r="10" spans="1:256" ht="20.25" customHeight="1">
      <c r="A10" s="12" t="s">
        <v>18</v>
      </c>
      <c r="B10" s="28" t="s">
        <v>16</v>
      </c>
      <c r="C10" s="29">
        <v>1.2</v>
      </c>
      <c r="D10" s="28"/>
      <c r="E10" s="30"/>
      <c r="F10" s="18"/>
      <c r="G10" s="18"/>
      <c r="H10" s="57" t="s">
        <v>18</v>
      </c>
      <c r="I10" s="57" t="s">
        <v>61</v>
      </c>
      <c r="J10" s="89">
        <v>5.5</v>
      </c>
      <c r="K10" s="70">
        <v>4.3499999999999996</v>
      </c>
      <c r="L10" s="89">
        <v>3.5</v>
      </c>
      <c r="M10" s="55"/>
      <c r="N10" s="54" t="s">
        <v>69</v>
      </c>
      <c r="O10" s="55" t="s">
        <v>70</v>
      </c>
      <c r="P10" s="54" t="s">
        <v>71</v>
      </c>
      <c r="Q10" s="55" t="s">
        <v>72</v>
      </c>
      <c r="R10" s="54"/>
    </row>
    <row r="11" spans="1:256" s="2" customFormat="1" ht="20.25" customHeight="1">
      <c r="A11" s="12"/>
      <c r="B11" s="23" t="s">
        <v>19</v>
      </c>
      <c r="C11" s="24">
        <v>3.3</v>
      </c>
      <c r="D11" s="24">
        <v>4</v>
      </c>
      <c r="E11" s="26">
        <f>E7</f>
        <v>1.9E-2</v>
      </c>
      <c r="F11" s="34"/>
      <c r="G11" s="34"/>
      <c r="H11" s="57"/>
      <c r="I11" s="57"/>
      <c r="J11" s="54"/>
      <c r="K11" s="55"/>
      <c r="L11" s="54"/>
      <c r="M11" s="55"/>
      <c r="N11" s="54"/>
      <c r="O11" s="55"/>
      <c r="P11" s="54"/>
      <c r="Q11" s="55"/>
      <c r="R11" s="69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</row>
    <row r="12" spans="1:256" s="4" customFormat="1" ht="20.25" customHeight="1">
      <c r="A12" s="12" t="s">
        <v>20</v>
      </c>
      <c r="B12" s="28" t="s">
        <v>16</v>
      </c>
      <c r="C12" s="29">
        <v>1.2</v>
      </c>
      <c r="D12" s="28"/>
      <c r="E12" s="30"/>
      <c r="F12" s="27"/>
      <c r="G12" s="27"/>
      <c r="H12" s="57"/>
      <c r="I12" s="57"/>
      <c r="J12" s="54"/>
      <c r="K12" s="55"/>
      <c r="L12" s="54"/>
      <c r="M12" s="55"/>
      <c r="N12" s="54"/>
      <c r="O12" s="55"/>
      <c r="P12" s="54"/>
      <c r="Q12" s="55"/>
      <c r="R12" s="69"/>
      <c r="IO12" s="2"/>
      <c r="IP12" s="2"/>
      <c r="IQ12" s="2"/>
      <c r="IR12" s="2"/>
      <c r="IS12" s="2"/>
      <c r="IT12" s="2"/>
      <c r="IU12" s="2"/>
      <c r="IV12" s="2"/>
    </row>
    <row r="13" spans="1:256" s="4" customFormat="1" ht="20.25" customHeight="1">
      <c r="A13" s="12"/>
      <c r="B13" s="31" t="s">
        <v>17</v>
      </c>
      <c r="C13" s="32">
        <v>3</v>
      </c>
      <c r="D13" s="31">
        <v>4.2</v>
      </c>
      <c r="E13" s="33">
        <v>1.4999999999999999E-2</v>
      </c>
      <c r="F13" s="27"/>
      <c r="G13" s="27"/>
      <c r="H13" s="57"/>
      <c r="I13" s="57"/>
      <c r="J13" s="54"/>
      <c r="K13" s="55"/>
      <c r="L13" s="54"/>
      <c r="M13" s="55"/>
      <c r="N13" s="54"/>
      <c r="O13" s="55"/>
      <c r="P13" s="54"/>
      <c r="Q13" s="55"/>
      <c r="R13" s="69"/>
      <c r="IO13" s="2"/>
      <c r="IP13" s="2"/>
      <c r="IQ13" s="2"/>
      <c r="IR13" s="2"/>
      <c r="IS13" s="2"/>
      <c r="IT13" s="2"/>
      <c r="IU13" s="2"/>
      <c r="IV13" s="2"/>
    </row>
    <row r="14" spans="1:256" s="4" customFormat="1" ht="20.25" customHeight="1">
      <c r="A14" s="12" t="s">
        <v>21</v>
      </c>
      <c r="B14" s="28" t="s">
        <v>16</v>
      </c>
      <c r="C14" s="29">
        <v>1.2</v>
      </c>
      <c r="D14" s="28"/>
      <c r="E14" s="30"/>
      <c r="F14" s="27"/>
      <c r="G14" s="27"/>
      <c r="H14" s="57"/>
      <c r="I14" s="57"/>
      <c r="J14" s="54"/>
      <c r="K14" s="55"/>
      <c r="L14" s="54"/>
      <c r="M14" s="55"/>
      <c r="N14" s="54"/>
      <c r="O14" s="55"/>
      <c r="P14" s="54"/>
      <c r="Q14" s="55"/>
      <c r="R14" s="69"/>
      <c r="IO14" s="2"/>
      <c r="IP14" s="2"/>
      <c r="IQ14" s="2"/>
      <c r="IR14" s="2"/>
      <c r="IS14" s="2"/>
      <c r="IT14" s="2"/>
      <c r="IU14" s="2"/>
      <c r="IV14" s="2"/>
    </row>
    <row r="15" spans="1:256" s="4" customFormat="1" ht="20.25" customHeight="1">
      <c r="A15" s="12"/>
      <c r="B15" s="23" t="s">
        <v>19</v>
      </c>
      <c r="C15" s="24">
        <v>3.3</v>
      </c>
      <c r="D15" s="24">
        <v>4</v>
      </c>
      <c r="E15" s="26">
        <f>E11</f>
        <v>1.9E-2</v>
      </c>
      <c r="F15" s="34"/>
      <c r="G15" s="34"/>
      <c r="H15" s="57"/>
      <c r="I15" s="57"/>
      <c r="J15" s="54"/>
      <c r="K15" s="55"/>
      <c r="L15" s="54"/>
      <c r="M15" s="55"/>
      <c r="N15" s="54"/>
      <c r="O15" s="55"/>
      <c r="P15" s="54"/>
      <c r="Q15" s="55"/>
      <c r="R15" s="54"/>
      <c r="IO15" s="2"/>
      <c r="IP15" s="2"/>
      <c r="IQ15" s="2"/>
      <c r="IR15" s="2"/>
      <c r="IS15" s="2"/>
      <c r="IT15" s="2"/>
      <c r="IU15" s="2"/>
      <c r="IV15" s="2"/>
    </row>
    <row r="16" spans="1:256" s="5" customFormat="1" ht="20.25" customHeight="1">
      <c r="A16" s="12" t="s">
        <v>22</v>
      </c>
      <c r="B16" s="28" t="s">
        <v>16</v>
      </c>
      <c r="C16" s="29">
        <v>1.2</v>
      </c>
      <c r="D16" s="28"/>
      <c r="E16" s="30"/>
      <c r="F16" s="18"/>
      <c r="G16" s="18"/>
      <c r="H16" s="57" t="s">
        <v>64</v>
      </c>
      <c r="I16" s="57" t="s">
        <v>65</v>
      </c>
      <c r="J16" s="89">
        <v>5.5</v>
      </c>
      <c r="K16" s="70">
        <v>4.3499999999999996</v>
      </c>
      <c r="L16" s="89">
        <v>3.5</v>
      </c>
      <c r="M16" s="55"/>
      <c r="N16" s="54" t="s">
        <v>69</v>
      </c>
      <c r="O16" s="55" t="s">
        <v>70</v>
      </c>
      <c r="P16" s="54" t="s">
        <v>71</v>
      </c>
      <c r="Q16" s="55" t="s">
        <v>72</v>
      </c>
      <c r="R16" s="54"/>
      <c r="IO16" s="10"/>
      <c r="IP16" s="10"/>
      <c r="IQ16" s="10"/>
      <c r="IR16" s="10"/>
      <c r="IS16" s="10"/>
      <c r="IT16" s="10"/>
      <c r="IU16" s="10"/>
    </row>
    <row r="17" spans="1:256" s="5" customFormat="1" ht="20.25" customHeight="1">
      <c r="A17" s="12"/>
      <c r="B17" s="31" t="s">
        <v>17</v>
      </c>
      <c r="C17" s="32">
        <v>7.1</v>
      </c>
      <c r="D17" s="31">
        <v>4.2</v>
      </c>
      <c r="E17" s="33">
        <v>1.4999999999999999E-2</v>
      </c>
      <c r="F17" s="18"/>
      <c r="G17" s="18"/>
      <c r="H17" s="57"/>
      <c r="I17" s="57"/>
      <c r="J17" s="54"/>
      <c r="K17" s="55"/>
      <c r="L17" s="54"/>
      <c r="M17" s="55"/>
      <c r="N17" s="54"/>
      <c r="O17" s="55"/>
      <c r="P17" s="54"/>
      <c r="Q17" s="55"/>
      <c r="R17" s="69"/>
      <c r="IO17" s="10"/>
      <c r="IP17" s="10"/>
      <c r="IQ17" s="10"/>
      <c r="IR17" s="10"/>
      <c r="IS17" s="10"/>
      <c r="IT17" s="10"/>
      <c r="IU17" s="10"/>
    </row>
    <row r="18" spans="1:256" s="5" customFormat="1" ht="20.25" customHeight="1">
      <c r="A18" s="12" t="s">
        <v>23</v>
      </c>
      <c r="B18" s="28" t="s">
        <v>16</v>
      </c>
      <c r="C18" s="29">
        <v>1.2</v>
      </c>
      <c r="D18" s="28"/>
      <c r="E18" s="30"/>
      <c r="F18" s="18"/>
      <c r="G18" s="18"/>
      <c r="H18" s="58"/>
      <c r="I18" s="58"/>
      <c r="J18" s="56"/>
      <c r="K18" s="59"/>
      <c r="L18" s="54"/>
      <c r="M18" s="55"/>
      <c r="N18" s="54"/>
      <c r="O18" s="55"/>
      <c r="P18" s="54"/>
      <c r="Q18" s="55"/>
      <c r="R18" s="56"/>
      <c r="IO18" s="10"/>
      <c r="IP18" s="10"/>
      <c r="IQ18" s="10"/>
      <c r="IR18" s="10"/>
      <c r="IS18" s="10"/>
      <c r="IT18" s="10"/>
      <c r="IU18" s="10"/>
    </row>
    <row r="19" spans="1:256" s="4" customFormat="1" ht="20.25" customHeight="1">
      <c r="A19" s="12"/>
      <c r="B19" s="23" t="s">
        <v>24</v>
      </c>
      <c r="C19" s="24">
        <v>2.7</v>
      </c>
      <c r="D19" s="24">
        <v>4</v>
      </c>
      <c r="E19" s="26">
        <f>E15</f>
        <v>1.9E-2</v>
      </c>
      <c r="F19" s="34"/>
      <c r="G19" s="34"/>
      <c r="H19" s="58"/>
      <c r="I19" s="58"/>
      <c r="J19" s="56"/>
      <c r="K19" s="59"/>
      <c r="L19" s="54"/>
      <c r="M19" s="55"/>
      <c r="N19" s="54"/>
      <c r="O19" s="55"/>
      <c r="P19" s="54"/>
      <c r="Q19" s="55"/>
      <c r="R19" s="56"/>
      <c r="IO19" s="2"/>
      <c r="IP19" s="2"/>
      <c r="IQ19" s="2"/>
      <c r="IR19" s="2"/>
      <c r="IS19" s="2"/>
      <c r="IT19" s="2"/>
      <c r="IU19" s="2"/>
      <c r="IV19" s="2"/>
    </row>
    <row r="20" spans="1:256" s="4" customFormat="1" ht="20.25" customHeight="1">
      <c r="A20" s="12" t="s">
        <v>25</v>
      </c>
      <c r="B20" s="19" t="s">
        <v>13</v>
      </c>
      <c r="C20" s="20">
        <v>1.2</v>
      </c>
      <c r="D20" s="35"/>
      <c r="E20" s="36"/>
      <c r="F20" s="27"/>
      <c r="G20" s="27"/>
      <c r="H20" s="57" t="s">
        <v>66</v>
      </c>
      <c r="I20" s="57" t="s">
        <v>67</v>
      </c>
      <c r="J20" s="54">
        <v>6.5</v>
      </c>
      <c r="K20" s="55">
        <v>5.4</v>
      </c>
      <c r="L20" s="54">
        <v>4.5</v>
      </c>
      <c r="M20" s="55">
        <v>3.5</v>
      </c>
      <c r="N20" s="54" t="s">
        <v>47</v>
      </c>
      <c r="O20" s="55" t="s">
        <v>62</v>
      </c>
      <c r="P20" s="54" t="s">
        <v>60</v>
      </c>
      <c r="Q20" s="55" t="s">
        <v>48</v>
      </c>
      <c r="R20" s="54" t="s">
        <v>50</v>
      </c>
      <c r="IO20" s="2"/>
      <c r="IP20" s="2"/>
      <c r="IQ20" s="2"/>
      <c r="IR20" s="2"/>
      <c r="IS20" s="2"/>
      <c r="IT20" s="2"/>
      <c r="IU20" s="2"/>
      <c r="IV20" s="2"/>
    </row>
    <row r="21" spans="1:256" ht="20.25" customHeight="1">
      <c r="A21" s="12"/>
      <c r="B21" s="15" t="s">
        <v>11</v>
      </c>
      <c r="C21" s="16">
        <v>1.1000000000000001</v>
      </c>
      <c r="D21" s="16"/>
      <c r="E21" s="17"/>
      <c r="F21" s="37"/>
      <c r="G21" s="37"/>
      <c r="H21" s="58"/>
      <c r="I21" s="58"/>
      <c r="J21" s="56"/>
      <c r="K21" s="59"/>
      <c r="L21" s="54"/>
      <c r="M21" s="55"/>
      <c r="N21" s="54"/>
      <c r="O21" s="55"/>
      <c r="P21" s="54"/>
      <c r="Q21" s="55"/>
      <c r="R21" s="56"/>
    </row>
    <row r="22" spans="1:256" ht="20.25" customHeight="1">
      <c r="A22" s="12"/>
      <c r="B22" s="12"/>
      <c r="C22" s="38">
        <f>SUM(C4:C21)</f>
        <v>41.000000000000007</v>
      </c>
      <c r="D22" s="12"/>
      <c r="E22" s="39"/>
      <c r="H22" s="60" t="s">
        <v>63</v>
      </c>
      <c r="I22" s="61"/>
      <c r="J22" s="61"/>
      <c r="K22" s="61"/>
      <c r="L22" s="61"/>
      <c r="M22" s="61"/>
      <c r="N22" s="61"/>
      <c r="O22" s="61"/>
      <c r="P22" s="61"/>
      <c r="Q22" s="61"/>
      <c r="R22" s="62"/>
    </row>
    <row r="23" spans="1:256">
      <c r="C23" s="40">
        <f>C22*0.0254</f>
        <v>1.0414000000000001</v>
      </c>
      <c r="E23" s="5"/>
    </row>
    <row r="25" spans="1:256">
      <c r="Q25" s="5" t="s">
        <v>42</v>
      </c>
    </row>
    <row r="26" spans="1:256">
      <c r="E26" s="71"/>
      <c r="F26" s="72"/>
      <c r="G26" s="72"/>
      <c r="H26" s="72"/>
      <c r="I26" s="72"/>
      <c r="J26" s="72"/>
      <c r="K26" s="72"/>
      <c r="L26" s="72"/>
      <c r="M26" s="73"/>
      <c r="N26" s="74"/>
      <c r="O26" s="74"/>
      <c r="P26" s="74"/>
      <c r="Q26" s="72"/>
      <c r="R26" s="72"/>
    </row>
    <row r="27" spans="1:256">
      <c r="E27" s="71"/>
      <c r="F27" s="72"/>
      <c r="G27" s="72"/>
      <c r="H27" s="72"/>
      <c r="I27" s="72"/>
      <c r="J27" s="72"/>
      <c r="K27" s="72"/>
      <c r="L27" s="72"/>
      <c r="M27" s="73"/>
      <c r="N27" s="74"/>
      <c r="O27" s="74"/>
      <c r="P27" s="74"/>
      <c r="Q27" s="72"/>
      <c r="R27" s="72"/>
    </row>
    <row r="28" spans="1:256">
      <c r="E28" s="71"/>
      <c r="F28" s="72"/>
      <c r="G28" s="72"/>
      <c r="H28" s="75"/>
      <c r="I28" s="75"/>
      <c r="J28" s="75"/>
      <c r="K28" s="75"/>
      <c r="L28" s="75"/>
      <c r="M28" s="75"/>
      <c r="N28" s="76"/>
      <c r="O28" s="76"/>
      <c r="P28" s="76"/>
      <c r="Q28" s="72"/>
      <c r="R28" s="72"/>
    </row>
    <row r="29" spans="1:256">
      <c r="E29" s="71"/>
      <c r="F29" s="72"/>
      <c r="G29" s="72"/>
      <c r="H29" s="75"/>
      <c r="I29" s="75"/>
      <c r="J29" s="75"/>
      <c r="K29" s="75"/>
      <c r="L29" s="75"/>
      <c r="M29" s="73"/>
      <c r="N29" s="74"/>
      <c r="O29" s="74"/>
      <c r="P29" s="74"/>
      <c r="Q29" s="72"/>
      <c r="R29" s="72"/>
    </row>
    <row r="30" spans="1:256">
      <c r="E30" s="71"/>
      <c r="F30" s="72"/>
      <c r="G30" s="72"/>
      <c r="H30" s="77"/>
      <c r="I30" s="78"/>
      <c r="J30" s="78"/>
      <c r="K30" s="78"/>
      <c r="L30" s="78"/>
      <c r="M30" s="73"/>
      <c r="N30" s="74"/>
      <c r="O30" s="74"/>
      <c r="P30" s="74"/>
      <c r="Q30" s="72"/>
      <c r="R30" s="72"/>
    </row>
    <row r="31" spans="1:256">
      <c r="E31" s="71"/>
      <c r="F31" s="72"/>
      <c r="G31" s="72"/>
      <c r="H31" s="79"/>
      <c r="I31" s="80"/>
      <c r="J31" s="80"/>
      <c r="K31" s="73"/>
      <c r="L31" s="81"/>
      <c r="M31" s="81"/>
      <c r="N31" s="81"/>
      <c r="O31" s="81"/>
      <c r="P31" s="81"/>
      <c r="Q31" s="72"/>
      <c r="R31" s="72"/>
    </row>
    <row r="32" spans="1:256">
      <c r="E32" s="71"/>
      <c r="F32" s="72"/>
      <c r="G32" s="72"/>
      <c r="H32" s="79"/>
      <c r="I32" s="80"/>
      <c r="J32" s="80"/>
      <c r="K32" s="73"/>
      <c r="L32" s="81"/>
      <c r="M32" s="81"/>
      <c r="N32" s="81"/>
      <c r="O32" s="81"/>
      <c r="P32" s="81"/>
      <c r="Q32" s="72"/>
      <c r="R32" s="72"/>
    </row>
    <row r="33" spans="5:18">
      <c r="E33" s="71"/>
      <c r="F33" s="72"/>
      <c r="G33" s="72"/>
      <c r="H33" s="79"/>
      <c r="I33" s="82"/>
      <c r="J33" s="82"/>
      <c r="K33" s="82"/>
      <c r="L33" s="82"/>
      <c r="M33" s="83"/>
      <c r="N33" s="84"/>
      <c r="O33" s="84"/>
      <c r="P33" s="84"/>
      <c r="Q33" s="72"/>
      <c r="R33" s="72"/>
    </row>
    <row r="34" spans="5:18">
      <c r="E34" s="71"/>
      <c r="F34" s="72"/>
      <c r="G34" s="72"/>
      <c r="H34" s="79"/>
      <c r="I34" s="80"/>
      <c r="J34" s="80"/>
      <c r="K34" s="80"/>
      <c r="L34" s="80"/>
      <c r="M34" s="83"/>
      <c r="N34" s="84"/>
      <c r="O34" s="84"/>
      <c r="P34" s="84"/>
      <c r="Q34" s="72"/>
      <c r="R34" s="72"/>
    </row>
    <row r="35" spans="5:18">
      <c r="E35" s="71"/>
      <c r="F35" s="72"/>
      <c r="G35" s="72"/>
      <c r="H35" s="79"/>
      <c r="I35" s="80"/>
      <c r="J35" s="80"/>
      <c r="K35" s="80"/>
      <c r="L35" s="80"/>
      <c r="M35" s="83"/>
      <c r="N35" s="84"/>
      <c r="O35" s="84"/>
      <c r="P35" s="84"/>
      <c r="Q35" s="72"/>
      <c r="R35" s="72"/>
    </row>
    <row r="36" spans="5:18">
      <c r="E36" s="71"/>
      <c r="F36" s="72"/>
      <c r="G36" s="72"/>
      <c r="H36" s="85"/>
      <c r="I36" s="86"/>
      <c r="J36" s="86"/>
      <c r="K36" s="80"/>
      <c r="L36" s="87"/>
      <c r="M36" s="87"/>
      <c r="N36" s="87"/>
      <c r="O36" s="87"/>
      <c r="P36" s="87"/>
      <c r="Q36" s="72"/>
      <c r="R36" s="72"/>
    </row>
    <row r="37" spans="5:18">
      <c r="E37" s="71"/>
      <c r="F37" s="72"/>
      <c r="G37" s="72"/>
      <c r="H37" s="85"/>
      <c r="I37" s="86"/>
      <c r="J37" s="86"/>
      <c r="K37" s="80"/>
      <c r="L37" s="80"/>
      <c r="M37" s="83"/>
      <c r="N37" s="84"/>
      <c r="O37" s="84"/>
      <c r="P37" s="84"/>
      <c r="Q37" s="72"/>
      <c r="R37" s="72"/>
    </row>
    <row r="38" spans="5:18">
      <c r="E38" s="71"/>
      <c r="F38" s="72"/>
      <c r="G38" s="72"/>
      <c r="H38" s="85"/>
      <c r="I38" s="86"/>
      <c r="J38" s="86"/>
      <c r="K38" s="80"/>
      <c r="L38" s="80"/>
      <c r="M38" s="83"/>
      <c r="N38" s="87"/>
      <c r="O38" s="87"/>
      <c r="P38" s="87"/>
      <c r="Q38" s="72"/>
      <c r="R38" s="72"/>
    </row>
    <row r="39" spans="5:18">
      <c r="E39" s="71"/>
      <c r="F39" s="72"/>
      <c r="G39" s="72"/>
      <c r="H39" s="85"/>
      <c r="I39" s="86"/>
      <c r="J39" s="86"/>
      <c r="K39" s="80"/>
      <c r="L39" s="80"/>
      <c r="M39" s="83"/>
      <c r="N39" s="84"/>
      <c r="O39" s="84"/>
      <c r="P39" s="84"/>
      <c r="Q39" s="72"/>
      <c r="R39" s="72"/>
    </row>
    <row r="40" spans="5:18">
      <c r="E40" s="71"/>
      <c r="F40" s="72"/>
      <c r="G40" s="72"/>
      <c r="H40" s="85"/>
      <c r="I40" s="86"/>
      <c r="J40" s="86"/>
      <c r="K40" s="80"/>
      <c r="L40" s="80"/>
      <c r="M40" s="83"/>
      <c r="N40" s="84"/>
      <c r="O40" s="84"/>
      <c r="P40" s="84"/>
      <c r="Q40" s="72"/>
      <c r="R40" s="72"/>
    </row>
    <row r="41" spans="5:18">
      <c r="E41" s="71"/>
      <c r="F41" s="72"/>
      <c r="G41" s="72"/>
      <c r="H41" s="85"/>
      <c r="I41" s="86"/>
      <c r="J41" s="86"/>
      <c r="K41" s="80"/>
      <c r="L41" s="80"/>
      <c r="M41" s="83"/>
      <c r="N41" s="84"/>
      <c r="O41" s="84"/>
      <c r="P41" s="84"/>
      <c r="Q41" s="72"/>
      <c r="R41" s="72"/>
    </row>
    <row r="42" spans="5:18">
      <c r="E42" s="71"/>
      <c r="F42" s="72"/>
      <c r="G42" s="72"/>
      <c r="H42" s="85"/>
      <c r="I42" s="86"/>
      <c r="J42" s="86"/>
      <c r="K42" s="80"/>
      <c r="L42" s="87"/>
      <c r="M42" s="87"/>
      <c r="N42" s="87"/>
      <c r="O42" s="87"/>
      <c r="P42" s="87"/>
      <c r="Q42" s="72"/>
      <c r="R42" s="72"/>
    </row>
    <row r="43" spans="5:18">
      <c r="E43" s="71"/>
      <c r="F43" s="72"/>
      <c r="G43" s="72"/>
      <c r="H43" s="85"/>
      <c r="I43" s="86"/>
      <c r="J43" s="86"/>
      <c r="K43" s="80"/>
      <c r="L43" s="80"/>
      <c r="M43" s="83"/>
      <c r="N43" s="84"/>
      <c r="O43" s="84"/>
      <c r="P43" s="84"/>
      <c r="Q43" s="72"/>
      <c r="R43" s="72"/>
    </row>
    <row r="44" spans="5:18">
      <c r="E44" s="71"/>
      <c r="F44" s="72"/>
      <c r="G44" s="72"/>
      <c r="H44" s="85"/>
      <c r="I44" s="86"/>
      <c r="J44" s="86"/>
      <c r="K44" s="80"/>
      <c r="L44" s="80"/>
      <c r="M44" s="83"/>
      <c r="N44" s="84"/>
      <c r="O44" s="84"/>
      <c r="P44" s="84"/>
      <c r="Q44" s="72"/>
      <c r="R44" s="72"/>
    </row>
    <row r="45" spans="5:18">
      <c r="E45" s="71"/>
      <c r="F45" s="72"/>
      <c r="G45" s="72"/>
      <c r="H45" s="85"/>
      <c r="I45" s="86"/>
      <c r="J45" s="86"/>
      <c r="K45" s="80"/>
      <c r="L45" s="80"/>
      <c r="M45" s="83"/>
      <c r="N45" s="84"/>
      <c r="O45" s="84"/>
      <c r="P45" s="84"/>
      <c r="Q45" s="72"/>
      <c r="R45" s="72"/>
    </row>
    <row r="46" spans="5:18">
      <c r="E46" s="71"/>
      <c r="F46" s="72"/>
      <c r="G46" s="72"/>
      <c r="H46" s="37"/>
      <c r="I46" s="80"/>
      <c r="J46" s="80"/>
      <c r="K46" s="73"/>
      <c r="L46" s="81"/>
      <c r="M46" s="81"/>
      <c r="N46" s="81"/>
      <c r="O46" s="81"/>
      <c r="P46" s="81"/>
      <c r="Q46" s="72"/>
      <c r="R46" s="72"/>
    </row>
    <row r="47" spans="5:18">
      <c r="E47" s="71"/>
      <c r="F47" s="72"/>
      <c r="G47" s="72"/>
      <c r="H47" s="72"/>
      <c r="I47" s="72"/>
      <c r="J47" s="72"/>
      <c r="K47" s="88"/>
      <c r="L47" s="88"/>
      <c r="M47" s="83"/>
      <c r="N47" s="84"/>
      <c r="O47" s="84"/>
      <c r="P47" s="84"/>
      <c r="Q47" s="72"/>
      <c r="R47" s="72"/>
    </row>
    <row r="48" spans="5:18">
      <c r="E48" s="71"/>
      <c r="F48" s="72"/>
      <c r="G48" s="72"/>
      <c r="H48" s="72"/>
      <c r="I48" s="72"/>
      <c r="J48" s="72"/>
      <c r="K48" s="72"/>
      <c r="L48" s="72"/>
      <c r="M48" s="73"/>
      <c r="N48" s="74"/>
      <c r="O48" s="74"/>
      <c r="P48" s="74"/>
      <c r="Q48" s="72"/>
      <c r="R48" s="72"/>
    </row>
    <row r="49" spans="5:18">
      <c r="E49" s="71"/>
      <c r="F49" s="72"/>
      <c r="G49" s="72"/>
      <c r="H49" s="72"/>
      <c r="I49" s="72"/>
      <c r="J49" s="72"/>
      <c r="K49" s="72"/>
      <c r="L49" s="72"/>
      <c r="M49" s="73"/>
      <c r="N49" s="74"/>
      <c r="O49" s="74"/>
      <c r="P49" s="74"/>
      <c r="Q49" s="72"/>
      <c r="R49" s="72"/>
    </row>
    <row r="50" spans="5:18">
      <c r="E50" s="71"/>
      <c r="F50" s="72"/>
      <c r="G50" s="72"/>
      <c r="H50" s="72"/>
      <c r="I50" s="72"/>
      <c r="J50" s="72"/>
      <c r="K50" s="72"/>
      <c r="L50" s="72"/>
      <c r="M50" s="73"/>
      <c r="N50" s="74"/>
      <c r="O50" s="74"/>
      <c r="P50" s="74"/>
      <c r="Q50" s="72"/>
      <c r="R50" s="72"/>
    </row>
    <row r="51" spans="5:18">
      <c r="E51" s="71"/>
      <c r="F51" s="72"/>
      <c r="G51" s="72"/>
      <c r="H51" s="72"/>
      <c r="I51" s="72"/>
      <c r="J51" s="72"/>
      <c r="K51" s="72"/>
      <c r="L51" s="72"/>
      <c r="M51" s="73"/>
      <c r="N51" s="74"/>
      <c r="O51" s="74"/>
      <c r="P51" s="74"/>
      <c r="Q51" s="72"/>
      <c r="R51" s="72"/>
    </row>
    <row r="52" spans="5:18">
      <c r="E52" s="71"/>
      <c r="F52" s="72"/>
      <c r="G52" s="72"/>
      <c r="H52" s="72"/>
      <c r="I52" s="72"/>
      <c r="J52" s="72"/>
      <c r="K52" s="72"/>
      <c r="L52" s="72"/>
      <c r="M52" s="73"/>
      <c r="N52" s="74"/>
      <c r="O52" s="74"/>
      <c r="P52" s="74"/>
      <c r="Q52" s="72"/>
      <c r="R52" s="72"/>
    </row>
  </sheetData>
  <mergeCells count="7">
    <mergeCell ref="A2:B2"/>
    <mergeCell ref="H2:I3"/>
    <mergeCell ref="A5:A6"/>
    <mergeCell ref="B5:B6"/>
    <mergeCell ref="C5:C6"/>
    <mergeCell ref="D5:D6"/>
    <mergeCell ref="E5:E6"/>
  </mergeCells>
  <phoneticPr fontId="8" type="noConversion"/>
  <pageMargins left="0.7" right="0.7" top="0.75" bottom="0.75" header="0.3" footer="0.3"/>
  <pageSetup paperSize="9" orientation="portrait" horizontalDpi="200" verticalDpi="2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showGridLines="0" zoomScale="115" zoomScaleNormal="115" zoomScaleSheetLayoutView="100" workbookViewId="0">
      <selection sqref="A1:IV65536"/>
    </sheetView>
  </sheetViews>
  <sheetFormatPr defaultColWidth="9" defaultRowHeight="13.5"/>
  <cols>
    <col min="14" max="14" width="5.25" customWidth="1"/>
    <col min="20" max="25" width="10.375" customWidth="1"/>
  </cols>
  <sheetData>
    <row r="1" spans="2:38">
      <c r="B1" s="1" t="s">
        <v>26</v>
      </c>
      <c r="E1" s="2"/>
      <c r="H1" s="1" t="s">
        <v>27</v>
      </c>
      <c r="O1" s="1" t="s">
        <v>28</v>
      </c>
      <c r="U1" s="1" t="s">
        <v>29</v>
      </c>
      <c r="Z1" s="1" t="s">
        <v>30</v>
      </c>
      <c r="AF1" s="1" t="s">
        <v>31</v>
      </c>
      <c r="AL1" s="1" t="s">
        <v>32</v>
      </c>
    </row>
    <row r="3" spans="2:38">
      <c r="B3" t="s">
        <v>33</v>
      </c>
    </row>
    <row r="17" spans="1:38">
      <c r="B17" s="1" t="s">
        <v>34</v>
      </c>
      <c r="H17" s="1" t="s">
        <v>35</v>
      </c>
      <c r="O17" s="1" t="s">
        <v>36</v>
      </c>
      <c r="U17" s="1" t="s">
        <v>37</v>
      </c>
      <c r="Z17" s="1" t="s">
        <v>38</v>
      </c>
      <c r="AF17" s="1" t="s">
        <v>39</v>
      </c>
      <c r="AL17" s="1" t="s">
        <v>40</v>
      </c>
    </row>
    <row r="18" spans="1:3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3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3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3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3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3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3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3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3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3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3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3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3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2" spans="1:38">
      <c r="O32" s="41" t="s">
        <v>41</v>
      </c>
    </row>
  </sheetData>
  <phoneticPr fontId="8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1.0通孔</vt:lpstr>
      <vt:lpstr>阻抗计算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revision>1</cp:revision>
  <cp:lastPrinted>2013-09-09T04:52:53Z</cp:lastPrinted>
  <dcterms:created xsi:type="dcterms:W3CDTF">2006-09-13T11:21:51Z</dcterms:created>
  <dcterms:modified xsi:type="dcterms:W3CDTF">2024-03-30T07:37:15Z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B619C6AEF750484D97A669B0B0BB874B</vt:lpwstr>
  </property>
</Properties>
</file>