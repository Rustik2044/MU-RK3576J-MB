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updateLinks="never"/>
  <mc:AlternateContent xmlns:mc="http://schemas.openxmlformats.org/markup-compatibility/2006">
    <mc:Choice Requires="x15">
      <x15ac:absPath xmlns:x15ac="http://schemas.microsoft.com/office/spreadsheetml/2010/11/ac" url="D:\RK\HW_Project\Heron\4. RK3576 发布资料整理\RK3576硬件资料发布_20240322\01_Official Release\01_Common Document\"/>
    </mc:Choice>
  </mc:AlternateContent>
  <xr:revisionPtr revIDLastSave="0" documentId="13_ncr:1_{F111D257-2BAE-42DE-A9F7-168C02DCBA69}" xr6:coauthVersionLast="47" xr6:coauthVersionMax="47" xr10:uidLastSave="{00000000-0000-0000-0000-000000000000}"/>
  <workbookProtection workbookAlgorithmName="SHA-512" workbookHashValue="OidrObJKTesGR3wwijJx5WuAzIVY8cPVyynGJi6WeOWI7AROF4aDSI3MQ44FCnVGPKiPaxgNhyx8AqvXbrw6pQ==" workbookSaltValue="kkls/F9PxnLEffiVngxiAQ==" workbookSpinCount="100000" lockStructure="1"/>
  <bookViews>
    <workbookView xWindow="-5325" yWindow="-21720" windowWidth="51840" windowHeight="21120" tabRatio="852" xr2:uid="{00000000-000D-0000-FFFF-FFFF00000000}"/>
  </bookViews>
  <sheets>
    <sheet name="00.CoverPage" sheetId="1" r:id="rId1"/>
    <sheet name="01.Statement" sheetId="10" r:id="rId2"/>
    <sheet name="02.Revision History" sheetId="5" r:id="rId3"/>
    <sheet name="03.RK3576 Package Pin Length" sheetId="9" r:id="rId4"/>
  </sheets>
  <definedNames>
    <definedName name="_xlnm._FilterDatabase" localSheetId="3" hidden="1">'03.RK3576 Package Pin Length'!$A$2:$D$334</definedName>
    <definedName name="_xlnm.Print_Area" localSheetId="0">'00.CoverPage'!$A$1:$C$29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9" l="1"/>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5" i="9"/>
  <c r="D86" i="9"/>
  <c r="D87" i="9"/>
  <c r="D88" i="9"/>
  <c r="D89" i="9"/>
  <c r="D90" i="9"/>
  <c r="D91" i="9"/>
  <c r="D92" i="9"/>
  <c r="D94" i="9"/>
  <c r="D95" i="9"/>
  <c r="D96" i="9"/>
  <c r="D97" i="9"/>
  <c r="D98" i="9"/>
  <c r="D99" i="9"/>
  <c r="D100" i="9"/>
  <c r="D101" i="9"/>
  <c r="D102" i="9"/>
  <c r="D103" i="9"/>
  <c r="D104" i="9"/>
  <c r="D105" i="9"/>
  <c r="D107" i="9"/>
  <c r="D108" i="9"/>
  <c r="D109" i="9"/>
  <c r="D110" i="9"/>
  <c r="D111" i="9"/>
  <c r="D112" i="9"/>
  <c r="D114" i="9"/>
  <c r="D115" i="9"/>
  <c r="D116" i="9"/>
  <c r="D117" i="9"/>
  <c r="D118" i="9"/>
  <c r="D120" i="9"/>
  <c r="D121" i="9"/>
  <c r="D122" i="9"/>
  <c r="D123" i="9"/>
  <c r="D124" i="9"/>
  <c r="D125" i="9"/>
  <c r="D126" i="9"/>
  <c r="D127" i="9"/>
  <c r="D128" i="9"/>
  <c r="D129" i="9"/>
  <c r="D130" i="9"/>
  <c r="D131" i="9"/>
  <c r="D133" i="9"/>
  <c r="D134" i="9"/>
  <c r="D135" i="9"/>
  <c r="D136" i="9"/>
  <c r="D137" i="9"/>
  <c r="D138" i="9"/>
  <c r="D139" i="9"/>
  <c r="D140" i="9"/>
  <c r="D141" i="9"/>
  <c r="D142" i="9"/>
  <c r="D143" i="9"/>
  <c r="D144" i="9"/>
  <c r="D145" i="9"/>
  <c r="D146" i="9"/>
  <c r="D147" i="9"/>
  <c r="D148" i="9"/>
  <c r="D149" i="9"/>
  <c r="D150"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6" i="9"/>
  <c r="D217" i="9"/>
  <c r="D218" i="9"/>
  <c r="D219" i="9"/>
  <c r="D220" i="9"/>
  <c r="D221" i="9"/>
  <c r="D222" i="9"/>
  <c r="D223" i="9"/>
  <c r="D224" i="9"/>
  <c r="D225" i="9"/>
  <c r="D227" i="9"/>
  <c r="D228" i="9"/>
  <c r="D229" i="9"/>
  <c r="D230" i="9"/>
  <c r="D232" i="9"/>
  <c r="D233" i="9"/>
  <c r="D234" i="9"/>
  <c r="D235" i="9"/>
  <c r="D236" i="9"/>
  <c r="D237" i="9"/>
  <c r="D238" i="9"/>
  <c r="D239" i="9"/>
  <c r="D240" i="9"/>
  <c r="D241" i="9"/>
  <c r="D242" i="9"/>
  <c r="D243" i="9"/>
  <c r="D245" i="9"/>
  <c r="D246" i="9"/>
  <c r="D247" i="9"/>
  <c r="D248" i="9"/>
  <c r="D249" i="9"/>
  <c r="D250" i="9"/>
  <c r="D251" i="9"/>
  <c r="D252" i="9"/>
  <c r="D253" i="9"/>
  <c r="D254" i="9"/>
  <c r="D255" i="9"/>
  <c r="D256" i="9"/>
  <c r="D257" i="9"/>
  <c r="D258" i="9"/>
  <c r="D259" i="9"/>
  <c r="D260" i="9"/>
  <c r="D261" i="9"/>
  <c r="D262" i="9"/>
  <c r="D263" i="9"/>
  <c r="D264" i="9"/>
  <c r="D266" i="9"/>
  <c r="D267" i="9"/>
  <c r="D268" i="9"/>
  <c r="D269" i="9"/>
  <c r="D270" i="9"/>
  <c r="D271" i="9"/>
  <c r="D272" i="9"/>
  <c r="D273" i="9"/>
  <c r="D274" i="9"/>
  <c r="D275" i="9"/>
  <c r="D276" i="9"/>
  <c r="D277" i="9"/>
  <c r="D278" i="9"/>
  <c r="D279" i="9"/>
  <c r="D280" i="9"/>
  <c r="D281" i="9"/>
  <c r="D282" i="9"/>
  <c r="D283" i="9"/>
  <c r="D284" i="9"/>
  <c r="D285" i="9"/>
  <c r="D286" i="9"/>
  <c r="D287" i="9"/>
  <c r="D288" i="9"/>
  <c r="D289" i="9"/>
  <c r="D291" i="9"/>
  <c r="D292" i="9"/>
  <c r="D293" i="9"/>
  <c r="D294" i="9"/>
  <c r="D295" i="9"/>
  <c r="D296" i="9"/>
  <c r="D297" i="9"/>
  <c r="D298" i="9"/>
  <c r="D299" i="9"/>
  <c r="D300" i="9"/>
  <c r="D5" i="9"/>
</calcChain>
</file>

<file path=xl/sharedStrings.xml><?xml version="1.0" encoding="utf-8"?>
<sst xmlns="http://schemas.openxmlformats.org/spreadsheetml/2006/main" count="636" uniqueCount="607">
  <si>
    <t>Rockchip Confidential</t>
  </si>
  <si>
    <t>Revision History</t>
  </si>
  <si>
    <t>Revision</t>
  </si>
  <si>
    <t>Description</t>
  </si>
  <si>
    <t>Editor</t>
  </si>
  <si>
    <t>Revision Date</t>
  </si>
  <si>
    <t>Ball Name</t>
  </si>
  <si>
    <t>Net Name</t>
  </si>
  <si>
    <t>Package Pin Length</t>
  </si>
  <si>
    <t>Part A</t>
  </si>
  <si>
    <t>W1</t>
  </si>
  <si>
    <t>AC1</t>
  </si>
  <si>
    <t>Y1</t>
  </si>
  <si>
    <t>AB1</t>
  </si>
  <si>
    <t>U1</t>
  </si>
  <si>
    <t>H1</t>
  </si>
  <si>
    <t>E1</t>
  </si>
  <si>
    <t>D1</t>
  </si>
  <si>
    <t>G1</t>
  </si>
  <si>
    <t>B1</t>
  </si>
  <si>
    <t>L1</t>
  </si>
  <si>
    <t>Part B</t>
  </si>
  <si>
    <t>A9</t>
  </si>
  <si>
    <t>B9</t>
  </si>
  <si>
    <t>B8</t>
  </si>
  <si>
    <t>A7</t>
  </si>
  <si>
    <t>B7</t>
  </si>
  <si>
    <t>B6</t>
  </si>
  <si>
    <t>A3</t>
  </si>
  <si>
    <t>B3</t>
  </si>
  <si>
    <t>A2</t>
  </si>
  <si>
    <t>B2</t>
  </si>
  <si>
    <t>A5</t>
  </si>
  <si>
    <t>B4</t>
  </si>
  <si>
    <t>B10</t>
  </si>
  <si>
    <t>B16</t>
  </si>
  <si>
    <t>A15</t>
  </si>
  <si>
    <t>B15</t>
  </si>
  <si>
    <t>B17</t>
  </si>
  <si>
    <t>A19</t>
  </si>
  <si>
    <t>B20</t>
  </si>
  <si>
    <t>B21</t>
  </si>
  <si>
    <t>A17</t>
  </si>
  <si>
    <t>B18</t>
  </si>
  <si>
    <t>B19</t>
  </si>
  <si>
    <t>A21</t>
  </si>
  <si>
    <t>A13</t>
  </si>
  <si>
    <t>B13</t>
  </si>
  <si>
    <t>B14</t>
  </si>
  <si>
    <t>B12</t>
  </si>
  <si>
    <t>Part C</t>
  </si>
  <si>
    <t>Part D</t>
  </si>
  <si>
    <t>Part E</t>
  </si>
  <si>
    <t>R28</t>
  </si>
  <si>
    <t>Part F</t>
  </si>
  <si>
    <t>AE28</t>
  </si>
  <si>
    <t>AG28</t>
  </si>
  <si>
    <t>Part G</t>
  </si>
  <si>
    <t>C28</t>
  </si>
  <si>
    <t>Part H</t>
  </si>
  <si>
    <t>AL15</t>
  </si>
  <si>
    <t>AK20</t>
  </si>
  <si>
    <t>AK18</t>
  </si>
  <si>
    <t>AK19</t>
  </si>
  <si>
    <t>AL18</t>
  </si>
  <si>
    <t>AL16</t>
  </si>
  <si>
    <t>Part I</t>
  </si>
  <si>
    <t>B23</t>
  </si>
  <si>
    <t>B26</t>
  </si>
  <si>
    <t>A23</t>
  </si>
  <si>
    <t>B28</t>
  </si>
  <si>
    <t>B27</t>
  </si>
  <si>
    <t>B24</t>
  </si>
  <si>
    <t>A27</t>
  </si>
  <si>
    <t>B25</t>
  </si>
  <si>
    <t>A26</t>
  </si>
  <si>
    <t>Part J</t>
  </si>
  <si>
    <t>AJ28</t>
  </si>
  <si>
    <t>AK28</t>
  </si>
  <si>
    <t>AK27</t>
  </si>
  <si>
    <t>AL26</t>
  </si>
  <si>
    <t>AK26</t>
  </si>
  <si>
    <t>AL23</t>
  </si>
  <si>
    <t>AL21</t>
  </si>
  <si>
    <t>AK23</t>
  </si>
  <si>
    <t>AK24</t>
  </si>
  <si>
    <t>AK22</t>
  </si>
  <si>
    <t>AL20</t>
  </si>
  <si>
    <t>AK21</t>
  </si>
  <si>
    <t>Part K</t>
  </si>
  <si>
    <t>AK16</t>
  </si>
  <si>
    <t>AK15</t>
  </si>
  <si>
    <t>AK17</t>
  </si>
  <si>
    <t>Part L</t>
  </si>
  <si>
    <t>AK8</t>
  </si>
  <si>
    <t>AL7</t>
  </si>
  <si>
    <t>AK7</t>
  </si>
  <si>
    <t>AL6</t>
  </si>
  <si>
    <t>Part M</t>
  </si>
  <si>
    <t>AK11</t>
  </si>
  <si>
    <t>AL11</t>
  </si>
  <si>
    <t>AL9</t>
  </si>
  <si>
    <t>AK9</t>
  </si>
  <si>
    <t>AK10</t>
  </si>
  <si>
    <t>AL10</t>
  </si>
  <si>
    <t>AL12</t>
  </si>
  <si>
    <t>AK12</t>
  </si>
  <si>
    <t>AK13</t>
  </si>
  <si>
    <t>AL13</t>
  </si>
  <si>
    <t>Part N</t>
  </si>
  <si>
    <t>N28</t>
  </si>
  <si>
    <t>P28</t>
  </si>
  <si>
    <t>M28</t>
  </si>
  <si>
    <t>L28</t>
  </si>
  <si>
    <t>J28</t>
  </si>
  <si>
    <t>K28</t>
  </si>
  <si>
    <t>Part O</t>
  </si>
  <si>
    <t>F28</t>
  </si>
  <si>
    <t>H28</t>
  </si>
  <si>
    <t>E28</t>
  </si>
  <si>
    <t>G28</t>
  </si>
  <si>
    <t>Part P</t>
  </si>
  <si>
    <t>AH1</t>
  </si>
  <si>
    <t>AE1</t>
  </si>
  <si>
    <t>Part Q</t>
  </si>
  <si>
    <t>Part R</t>
  </si>
  <si>
    <t>Part S</t>
  </si>
  <si>
    <t>Part T</t>
  </si>
  <si>
    <t>Part U</t>
  </si>
  <si>
    <t>RK3576_Package_PinLength</t>
    <phoneticPr fontId="35" type="noConversion"/>
  </si>
  <si>
    <t>Draft</t>
    <phoneticPr fontId="35" type="noConversion"/>
  </si>
  <si>
    <t>HDMI_TX_D0N/EDP_TX_D0N</t>
  </si>
  <si>
    <t>HDMI_TX_D0P/EDP_TX_D0P</t>
  </si>
  <si>
    <t>HDMI_TX_D1N/EDP_TX_D1N</t>
  </si>
  <si>
    <t>HDMI_TX_D1P/EDP_TX_D1P</t>
  </si>
  <si>
    <t>HDMI_TX_D2N/EDP_TX_D2N</t>
  </si>
  <si>
    <t>HDMI_TX_D2P/EDP_TX_D2P</t>
  </si>
  <si>
    <t>HDMI_TX_D3N/EDP_TX_D3N</t>
  </si>
  <si>
    <t>HDMI_TX_D3P/EDP_TX_D3P</t>
  </si>
  <si>
    <t>HDMI_TX_SBDN/EDP_TX_AUXN</t>
  </si>
  <si>
    <t>HDMI_TX_SBDP/EDP_TX_AUXP</t>
  </si>
  <si>
    <t>LP4_A0_A/LP4X_A0_A/LP5_A0_A</t>
  </si>
  <si>
    <t>LP4_A0_B/LP4X_A0_B/LP5_A0_B</t>
  </si>
  <si>
    <t>LP4_A1_A/LP4X_A1_A/LP5_A1_A</t>
  </si>
  <si>
    <t>LP4_A1_B/LP4X_A1_B/LP5_A1_B</t>
  </si>
  <si>
    <t>LP4_A2_A/LP4X_A2_A/LP5_A2_A</t>
  </si>
  <si>
    <t>LP4_A2_B/LP4X_A2_B/LP5_A2_B</t>
  </si>
  <si>
    <t>LP4_A3_A/LP4X_A3_A/LP5_A3_A</t>
  </si>
  <si>
    <t>LP4_A3_B/LP4X_A3_B/LP5_A3_B</t>
  </si>
  <si>
    <t>LP4_A4_A/LP4X_A4_A/LP5_A4_A</t>
  </si>
  <si>
    <t>LP4_A4_B/LP4X_A4_B/LP5_A4_B</t>
  </si>
  <si>
    <t>LP4_A5_A/LP4X_A5_A/LP5_A5_A</t>
  </si>
  <si>
    <t>LP4_A5_B/LP4X_A5_B/LP5_A5_B</t>
  </si>
  <si>
    <t>LP4_CKE0_A/LP4X_CKE0_A/LP5_CSN0_A</t>
  </si>
  <si>
    <t>LP4_CKE0_B/LP4X_CKE0_B/LP5_CSN0_B</t>
  </si>
  <si>
    <t>LP4_CKE1_A/LP4X_CKE1_A/LP5_CSN1_A</t>
  </si>
  <si>
    <t>LP4_CKE1_B/LP4X_CKE1_B/LP5_CSN1_B</t>
  </si>
  <si>
    <t>LP4_CLKN_A/LP4X_CLKN_A/LP5_CLKN_A</t>
  </si>
  <si>
    <t>LP4_CLKN_B/LP4X_CLKN_B/LP5_CLKN_B</t>
  </si>
  <si>
    <t>LP4_CLKP_A/LP4X_CLKP_A/LP5_CLKP_A</t>
  </si>
  <si>
    <t>LP4_CLKP_B/LP4X_CLKP_B/LP5_CLKP_B</t>
  </si>
  <si>
    <t>LP4_CSN0_A/LP4X_CSN0_A</t>
  </si>
  <si>
    <t>LP4_CSN0_B/LP4X_CSN0_B</t>
  </si>
  <si>
    <t>LP4_CSN1_A/LP4X_CSN1_A</t>
  </si>
  <si>
    <t>LP4_CSN1_B/LP4X_CSN1_B</t>
  </si>
  <si>
    <t>LP4_DMI0_A/LP4X_DMI0_A/LP5_DMI0_A</t>
  </si>
  <si>
    <t>LP4_DMI0_B/LP4X_DMI0_B/LP5_DMI0_B</t>
  </si>
  <si>
    <t>LP4_DMI1_A/LP4X_DMI1_A/LP5_DMI1_A</t>
  </si>
  <si>
    <t>LP4_DMI1_B/LP4X_DMI1_B/LP5_DMI1_B</t>
  </si>
  <si>
    <t>LP4_DQ0_A/LP4X_DQ0_A/LP5_DQ0_A</t>
  </si>
  <si>
    <t>LP4_DQ0_B/LP4X_DQ0_B/LP5_DQ0_B</t>
  </si>
  <si>
    <t>LP4_DQ1_A/LP4X_DQ1_A/LP5_DQ1_A</t>
  </si>
  <si>
    <t>LP4_DQ1_B/LP4X_DQ1_B/LP5_DQ1_B</t>
  </si>
  <si>
    <t>LP4_DQ10_A/LP4X_DQ10_A/LP5_DQ10_A</t>
  </si>
  <si>
    <t>LP4_DQ10_B/LP4X_DQ10_B/LP5_DQ10_B</t>
  </si>
  <si>
    <t>LP4_DQ11_A/LP4X_DQ11_A/LP5_DQ11_A</t>
  </si>
  <si>
    <t>LP4_DQ11_B/LP4X_DQ11_B/LP5_DQ11_B</t>
  </si>
  <si>
    <t>LP4_DQ12_A/LP4X_DQ12_A/LP5_DQ12_A</t>
  </si>
  <si>
    <t>LP4_DQ12_B/LP4X_DQ12_B/LP5_DQ12_B</t>
  </si>
  <si>
    <t>LP4_DQ13_A/LP4X_DQ13_A/LP5_DQ13_A</t>
  </si>
  <si>
    <t>LP4_DQ13_B/LP4X_DQ13_B/LP5_DQ13_B</t>
  </si>
  <si>
    <t>LP4_DQ14_A/LP4X_DQ14_A/LP5_DQ14_A</t>
  </si>
  <si>
    <t>LP4_DQ14_B/LP4X_DQ14_B/LP5_DQ14_B</t>
  </si>
  <si>
    <t>LP4_DQ15_A/LP4X_DQ15_A/LP5_DQ15_A</t>
  </si>
  <si>
    <t>LP4_DQ15_B/LP4X_DQ15_B/LP5_DQ15_B</t>
  </si>
  <si>
    <t>LP4_DQ2_A/LP4X_DQ2_A/LP5_DQ2_A</t>
  </si>
  <si>
    <t>LP4_DQ2_B/LP4X_DQ2_B/LP5_DQ2_B</t>
  </si>
  <si>
    <t>LP4_DQ3_A/LP4X_DQ3_A/LP5_DQ3_A</t>
  </si>
  <si>
    <t>LP4_DQ3_B/LP4X_DQ3_B/LP5_DQ3_B</t>
  </si>
  <si>
    <t>LP4_DQ4_A/LP4X_DQ4_A/LP5_DQ4_A</t>
  </si>
  <si>
    <t>LP4_DQ4_B/LP4X_DQ4_B/LP5_DQ4_B</t>
  </si>
  <si>
    <t>LP4_DQ5_A/LP4X_DQ5_A/LP5_DQ5_A</t>
  </si>
  <si>
    <t>LP4_DQ5_B/LP4X_DQ5_B/LP5_DQ5_B</t>
  </si>
  <si>
    <t>LP4_DQ6_A/LP4X_DQ6_A/LP5_DQ6_A</t>
  </si>
  <si>
    <t>LP4_DQ6_B/LP4X_DQ6_B/LP5_DQ6_B</t>
  </si>
  <si>
    <t>LP4_DQ7_A/LP4X_DQ7_A/LP5_DQ7_A</t>
  </si>
  <si>
    <t>LP4_DQ7_B/LP4X_DQ7_B/LP5_DQ7_B</t>
  </si>
  <si>
    <t>LP4_DQ8_A/LP4X_DQ8_A/LP5_DQ8_A</t>
  </si>
  <si>
    <t>LP4_DQ8_B/LP4X_DQ8_B/LP5_DQ8_B</t>
  </si>
  <si>
    <t>LP4_DQ9_A/LP4X_DQ9_A/LP5_DQ9_A</t>
  </si>
  <si>
    <t>LP4_DQ9_B/LP4X_DQ9_B/LP5_DQ9_B</t>
  </si>
  <si>
    <t>LP4_DQS0N_A/LP4X_DQS0N_A/LP5_RDQS0N_A</t>
  </si>
  <si>
    <t>LP4_DQS0N_B/LP4X_DQS0N_B/LP5_RDQS0N_B</t>
  </si>
  <si>
    <t>LP4_DQS0P_A/LP4X_DQS0P_A/LP5_RDQS0P_A</t>
  </si>
  <si>
    <t>LP4_DQS0P_B/LP4X_DQS0P_B/LP5_RDQS0P_B</t>
  </si>
  <si>
    <t>LP4_DQS1N_A/LP4X_DQS1N_A/LP5_RDQS1N_A</t>
  </si>
  <si>
    <t>LP4_DQS1N_B/LP4X_DQS1N_B/LP5_RDQS1N_B</t>
  </si>
  <si>
    <t>LP4_DQS1P_A/LP4X_DQS1P_A/LP5_RDQS1P_A</t>
  </si>
  <si>
    <t>LP4_DQS1P_B/LP4X_DQS1P_B/LP5_RDQS1P_B</t>
  </si>
  <si>
    <t>LP4_RESET/LP4X_RESET/LP5_RESET</t>
  </si>
  <si>
    <t>LP5_A6_A</t>
  </si>
  <si>
    <t>LP5_A6_B</t>
  </si>
  <si>
    <t>LP5_WCK0N_A</t>
  </si>
  <si>
    <t>LP5_WCK0N_B</t>
  </si>
  <si>
    <t>LP5_WCK0P_A</t>
  </si>
  <si>
    <t>LP5_WCK0P_B</t>
  </si>
  <si>
    <t>LP5_WCK1N_A</t>
  </si>
  <si>
    <t>LP5_WCK1N_B</t>
  </si>
  <si>
    <t>LP5_WCK1P_A</t>
  </si>
  <si>
    <t>LP5_WCK1P_B</t>
  </si>
  <si>
    <t>MIPI_DPHY_CSI0_RX_CLKN/MIPI_CPHY_CSI_RX_TRIO1_B</t>
  </si>
  <si>
    <t>MIPI_DPHY_CSI0_RX_CLKP/MIPI_CPHY_CSI_RX_TRIO1_C</t>
  </si>
  <si>
    <t>MIPI_DPHY_CSI0_RX_D0N/MIPI_CPHY_CSI_RX_TRIO0_A</t>
  </si>
  <si>
    <t>MIPI_DPHY_CSI0_RX_D0P/MIPI_CPHY_CSI_RX_TRIO0_B</t>
  </si>
  <si>
    <t>MIPI_DPHY_CSI0_RX_D1N/MIPI_CPHY_CSI_RX_TRIO0_C</t>
  </si>
  <si>
    <t>MIPI_DPHY_CSI0_RX_D1P/MIPI_CPHY_CSI_RX_TRIO1_A</t>
  </si>
  <si>
    <t>MIPI_DPHY_CSI0_RX_D2N/MIPI_CPHY_CSI_RX_TRIO2_A</t>
  </si>
  <si>
    <t>MIPI_DPHY_CSI0_RX_D2P/MIPI_CPHY_CSI_RX_TRIO2_B</t>
  </si>
  <si>
    <t>MIPI_DPHY_CSI0_RX_D3N/MIPI_CPHY_CSI_RX_TRIO2_C</t>
  </si>
  <si>
    <t>MIPI_DPHY_CSI0_RX_D3P/NO_USE</t>
  </si>
  <si>
    <t>MIPI_DPHY_CSI1_RX_CLKN</t>
  </si>
  <si>
    <t>MIPI_DPHY_CSI1_RX_CLKP</t>
  </si>
  <si>
    <t>MIPI_DPHY_CSI1_RX_D0N</t>
  </si>
  <si>
    <t>MIPI_DPHY_CSI1_RX_D0P</t>
  </si>
  <si>
    <t>MIPI_DPHY_CSI1_RX_D1N</t>
  </si>
  <si>
    <t>MIPI_DPHY_CSI1_RX_D1P</t>
  </si>
  <si>
    <t>MIPI_DPHY_CSI1_RX_D2N/MIPI_DPHY_CSI2_RX_D0N</t>
  </si>
  <si>
    <t>MIPI_DPHY_CSI1_RX_D2P/MIPI_DPHY_CSI2_RX_D0P</t>
  </si>
  <si>
    <t>MIPI_DPHY_CSI1_RX_D3N/MIPI_DPHY_CSI2_RX_D1N</t>
  </si>
  <si>
    <t>MIPI_DPHY_CSI1_RX_D3P/MIPI_DPHY_CSI2_RX_D1P</t>
  </si>
  <si>
    <t>MIPI_DPHY_CSI2_RX_CLKN</t>
  </si>
  <si>
    <t>MIPI_DPHY_CSI2_RX_CLKP</t>
  </si>
  <si>
    <t>MIPI_DPHY_CSI3_RX_CLKN</t>
  </si>
  <si>
    <t>MIPI_DPHY_CSI3_RX_CLKP</t>
  </si>
  <si>
    <t>MIPI_DPHY_CSI3_RX_D0N</t>
  </si>
  <si>
    <t>MIPI_DPHY_CSI3_RX_D0P</t>
  </si>
  <si>
    <t>MIPI_DPHY_CSI3_RX_D1N</t>
  </si>
  <si>
    <t>MIPI_DPHY_CSI3_RX_D1P</t>
  </si>
  <si>
    <t>MIPI_DPHY_CSI3_RX_D2N/MIPI_DPHY_CSI4_RX_D0N</t>
  </si>
  <si>
    <t>MIPI_DPHY_CSI3_RX_D2P/MIPI_DPHY_CSI4_RX_D0P</t>
  </si>
  <si>
    <t>MIPI_DPHY_CSI3_RX_D3N/MIPI_DPHY_CSI4_RX_D1N</t>
  </si>
  <si>
    <t>MIPI_DPHY_CSI3_RX_D3P/MIPI_DPHY_CSI4_RX_D1P</t>
  </si>
  <si>
    <t>MIPI_DPHY_CSI4_RX_CLKN</t>
  </si>
  <si>
    <t>MIPI_DPHY_CSI4_RX_CLKP</t>
  </si>
  <si>
    <t>MIPI_DPHY_DSI_TX_CLKN/MIPI_CPHY_DSI_TX_TRIO1_B</t>
  </si>
  <si>
    <t>MIPI_DPHY_DSI_TX_CLKP/MIPI_CPHY_DSI_TX_TRIO1_C</t>
  </si>
  <si>
    <t>MIPI_DPHY_DSI_TX_D0N/MIPI_CPHY_DSI_TX_TRIO0_A</t>
  </si>
  <si>
    <t>MIPI_DPHY_DSI_TX_D0P/MIPI_CPHY_DSI_TX_TRIO0_B</t>
  </si>
  <si>
    <t>MIPI_DPHY_DSI_TX_D1N/MIPI_CPHY_DSI_TX_TRIO0_C</t>
  </si>
  <si>
    <t>MIPI_DPHY_DSI_TX_D1P/MIPI_CPHY_DSI_TX_TRIO1_A</t>
  </si>
  <si>
    <t>MIPI_DPHY_DSI_TX_D2N/MIPI_CPHY_DSI_TX_TRIO2_A</t>
  </si>
  <si>
    <t>MIPI_DPHY_DSI_TX_D2P/MIPI_CPHY_DSI_TX_TRIO2_B</t>
  </si>
  <si>
    <t>MIPI_DPHY_DSI_TX_D3N/MIPI_CPHY_DSI_TX_TRIO2_C</t>
  </si>
  <si>
    <t>MIPI_DPHY_DSI_TX_D3P/NO_USE</t>
  </si>
  <si>
    <t>UFS_RX_D0N</t>
  </si>
  <si>
    <t>UFS_RX_D0P</t>
  </si>
  <si>
    <t>UFS_RX_D1N</t>
  </si>
  <si>
    <t>UFS_RX_D1P</t>
  </si>
  <si>
    <t>UFS_TX_D0N</t>
  </si>
  <si>
    <t>UFS_TX_D0P</t>
  </si>
  <si>
    <t>UFS_TX_D1N</t>
  </si>
  <si>
    <t>UFS_TX_D1P</t>
  </si>
  <si>
    <t>USB2_OTG0_DM</t>
  </si>
  <si>
    <t>USB2_OTG0_DP</t>
  </si>
  <si>
    <t>USB2_OTG1_DM</t>
  </si>
  <si>
    <t>USB2_OTG1_DP</t>
  </si>
  <si>
    <t>USB3_OTG0_SSRX1N/DP_TX_D0N</t>
  </si>
  <si>
    <t>USB3_OTG0_SSRX1P/DP_TX_D0P</t>
  </si>
  <si>
    <t>USB3_OTG0_SSRX2N/DP_TX_D2N</t>
  </si>
  <si>
    <t>USB3_OTG0_SSRX2P/DP_TX_D2P</t>
  </si>
  <si>
    <t>USB3_OTG0_SSTX1N/DP_TX_D1N</t>
  </si>
  <si>
    <t>USB3_OTG0_SSTX1P/DP_TX_D1P</t>
  </si>
  <si>
    <t>USB3_OTG0_SSTX2N/DP_TX_D3N</t>
  </si>
  <si>
    <t>USB3_OTG0_SSTX2P/DP_TX_D3P</t>
  </si>
  <si>
    <t>1D18</t>
  </si>
  <si>
    <t>1G23</t>
  </si>
  <si>
    <t>1F22</t>
  </si>
  <si>
    <t>E29</t>
  </si>
  <si>
    <t>1C24</t>
  </si>
  <si>
    <t>1D24</t>
  </si>
  <si>
    <t>D28</t>
  </si>
  <si>
    <t>1B24</t>
  </si>
  <si>
    <t>1D23</t>
  </si>
  <si>
    <t>1F23</t>
  </si>
  <si>
    <t>1A24</t>
  </si>
  <si>
    <t>B29</t>
  </si>
  <si>
    <t>1C23</t>
  </si>
  <si>
    <t>1A23</t>
  </si>
  <si>
    <t>1D22</t>
  </si>
  <si>
    <t>1A16</t>
  </si>
  <si>
    <t>1C22</t>
  </si>
  <si>
    <t>C29</t>
  </si>
  <si>
    <t>A28</t>
  </si>
  <si>
    <t>1B22</t>
  </si>
  <si>
    <t>1A14</t>
  </si>
  <si>
    <t>1B23</t>
  </si>
  <si>
    <t>1AE24</t>
  </si>
  <si>
    <t>AL28</t>
  </si>
  <si>
    <t>AK29</t>
  </si>
  <si>
    <t>2U12</t>
  </si>
  <si>
    <t>2T12</t>
  </si>
  <si>
    <t>1B15</t>
  </si>
  <si>
    <t>1B13</t>
  </si>
  <si>
    <t>T1</t>
  </si>
  <si>
    <t>1N1</t>
  </si>
  <si>
    <t>1J1</t>
  </si>
  <si>
    <t>1R3</t>
  </si>
  <si>
    <t>1J3</t>
  </si>
  <si>
    <t>1T2</t>
  </si>
  <si>
    <t>1G2</t>
  </si>
  <si>
    <t>1M5</t>
  </si>
  <si>
    <t>1F4</t>
  </si>
  <si>
    <t>1P5</t>
  </si>
  <si>
    <t>1K5</t>
  </si>
  <si>
    <t>1N3</t>
  </si>
  <si>
    <t>1K2</t>
  </si>
  <si>
    <t>1N5</t>
  </si>
  <si>
    <t>1M3</t>
  </si>
  <si>
    <t>P1</t>
  </si>
  <si>
    <t>N1</t>
  </si>
  <si>
    <t>1L1</t>
  </si>
  <si>
    <t>1K1</t>
  </si>
  <si>
    <t>1R4</t>
  </si>
  <si>
    <t>1J5</t>
  </si>
  <si>
    <t>1T4</t>
  </si>
  <si>
    <t>1K4</t>
  </si>
  <si>
    <t>1V1</t>
  </si>
  <si>
    <t>1B1</t>
  </si>
  <si>
    <t>1D2</t>
  </si>
  <si>
    <t>1T1</t>
  </si>
  <si>
    <t>1F2</t>
  </si>
  <si>
    <t>1AD1</t>
  </si>
  <si>
    <t>1Y1</t>
  </si>
  <si>
    <t>1W2</t>
  </si>
  <si>
    <t>1C1</t>
  </si>
  <si>
    <t>1AA3</t>
  </si>
  <si>
    <t>1AA1</t>
  </si>
  <si>
    <t>1P1</t>
  </si>
  <si>
    <t>1G1</t>
  </si>
  <si>
    <t>K1</t>
  </si>
  <si>
    <t>1V3</t>
  </si>
  <si>
    <t>1C3</t>
  </si>
  <si>
    <t>1W4</t>
  </si>
  <si>
    <t>1B3</t>
  </si>
  <si>
    <t>AF1</t>
  </si>
  <si>
    <t>1A1</t>
  </si>
  <si>
    <t>1AB1</t>
  </si>
  <si>
    <t>1F1</t>
  </si>
  <si>
    <t>1U1</t>
  </si>
  <si>
    <t>1AB3</t>
  </si>
  <si>
    <t>1AB4</t>
  </si>
  <si>
    <t>1U5</t>
  </si>
  <si>
    <t>1R5</t>
  </si>
  <si>
    <t>1H5</t>
  </si>
  <si>
    <t>1V4</t>
  </si>
  <si>
    <t>1G4</t>
  </si>
  <si>
    <t>1V5</t>
  </si>
  <si>
    <t>1G5</t>
  </si>
  <si>
    <t>1AA5</t>
  </si>
  <si>
    <t>1AA6</t>
  </si>
  <si>
    <t>1D4</t>
  </si>
  <si>
    <t>AL22</t>
  </si>
  <si>
    <t>AL24</t>
  </si>
  <si>
    <t>1AC23</t>
  </si>
  <si>
    <t>1AC22</t>
  </si>
  <si>
    <t>AE29</t>
  </si>
  <si>
    <t>AF28</t>
  </si>
  <si>
    <t>AF29</t>
  </si>
  <si>
    <t>AG29</t>
  </si>
  <si>
    <t>AH28</t>
  </si>
  <si>
    <t>AH29</t>
  </si>
  <si>
    <t>1AD22</t>
  </si>
  <si>
    <t>1AD21</t>
  </si>
  <si>
    <t>1H23</t>
  </si>
  <si>
    <t>1H22</t>
  </si>
  <si>
    <t>H29</t>
  </si>
  <si>
    <t>J29</t>
  </si>
  <si>
    <t>K29</t>
  </si>
  <si>
    <t>L29</t>
  </si>
  <si>
    <t>1K23</t>
  </si>
  <si>
    <t>1K22</t>
  </si>
  <si>
    <t>AL17</t>
  </si>
  <si>
    <t>AL19</t>
  </si>
  <si>
    <t>1N23</t>
  </si>
  <si>
    <t>1N22</t>
  </si>
  <si>
    <t>R29</t>
  </si>
  <si>
    <t>P29</t>
  </si>
  <si>
    <t>1M23</t>
  </si>
  <si>
    <t>1L23</t>
  </si>
  <si>
    <t>M29</t>
  </si>
  <si>
    <t>N29</t>
  </si>
  <si>
    <t>V29</t>
  </si>
  <si>
    <t>AD28</t>
  </si>
  <si>
    <t>AD29</t>
  </si>
  <si>
    <t>1B6</t>
  </si>
  <si>
    <t>1D6</t>
  </si>
  <si>
    <t>1C6</t>
  </si>
  <si>
    <t>1A6</t>
  </si>
  <si>
    <t>1A5</t>
  </si>
  <si>
    <t>1B5</t>
  </si>
  <si>
    <t>1C5</t>
  </si>
  <si>
    <t>1B21</t>
  </si>
  <si>
    <t>1A21</t>
  </si>
  <si>
    <t>1U21</t>
  </si>
  <si>
    <t>1Y24</t>
  </si>
  <si>
    <t>1B12</t>
  </si>
  <si>
    <t>1A4</t>
  </si>
  <si>
    <t>1AC6</t>
  </si>
  <si>
    <t>1AD6</t>
  </si>
  <si>
    <t>1AD5</t>
  </si>
  <si>
    <t>1AD4</t>
  </si>
  <si>
    <t>2T5</t>
  </si>
  <si>
    <t>2T4</t>
  </si>
  <si>
    <t>2T2</t>
  </si>
  <si>
    <t>2T3</t>
  </si>
  <si>
    <t>1A19</t>
  </si>
  <si>
    <t>1A20</t>
  </si>
  <si>
    <t>1C15</t>
  </si>
  <si>
    <t>1A13</t>
  </si>
  <si>
    <t>1B16</t>
  </si>
  <si>
    <t>1A17</t>
  </si>
  <si>
    <t>1A18</t>
  </si>
  <si>
    <t>B22</t>
  </si>
  <si>
    <t>1D15</t>
  </si>
  <si>
    <t>1A15</t>
  </si>
  <si>
    <t>1C18</t>
  </si>
  <si>
    <t>1D16</t>
  </si>
  <si>
    <t>1B18</t>
  </si>
  <si>
    <t>1A10</t>
  </si>
  <si>
    <t>1B10</t>
  </si>
  <si>
    <t>1D12</t>
  </si>
  <si>
    <t>B11</t>
  </si>
  <si>
    <t>1A9</t>
  </si>
  <si>
    <t>A11</t>
  </si>
  <si>
    <t>1A11</t>
  </si>
  <si>
    <t>1A12</t>
  </si>
  <si>
    <t>1A7</t>
  </si>
  <si>
    <t>1D13</t>
  </si>
  <si>
    <t>1C12</t>
  </si>
  <si>
    <t>1C7</t>
  </si>
  <si>
    <t>1D7</t>
  </si>
  <si>
    <t>1B9</t>
  </si>
  <si>
    <t>1D9</t>
  </si>
  <si>
    <t>1A8</t>
  </si>
  <si>
    <t>1D10</t>
  </si>
  <si>
    <t>1C10</t>
  </si>
  <si>
    <t>1B7</t>
  </si>
  <si>
    <t>1E1</t>
  </si>
  <si>
    <t>1E4</t>
  </si>
  <si>
    <t>EMMC_D0/FSPI0_D0/SAI0_SCLK_M2/UART7_RTSN_M1/I2C2_SCL_M1/GPIO1_A0_u</t>
  </si>
  <si>
    <t>EMMC_D1/FSPI0_D1/SAI0_LRCK_M2/UART7_CTSN_M1/I2C2_SDA_M1/GPIO1_A1_u</t>
  </si>
  <si>
    <t>EMMC_D2/FSPI0_D2/SAI0_SDO1_M2/SAI0_SDI3_M2/PDM0_SDI3_M1/UART7_TX_M1/UART6_RTSN_M2/GPIO1_A2_u</t>
  </si>
  <si>
    <t>EMMC_D3/FSPI0_D3/SAI0_SDO2_M2/SAI0_SDI2_M2/PDM0_SDI1_M1/UART7_RX_M1/UART6_CTSN_M2/GPIO1_A3_u</t>
  </si>
  <si>
    <t>EMMC_CMD/FSPI0_RSTN/FSPI0_CSN1/UART6_TX_M2/I2C7_SCL_M0/GPIO1_B0_u</t>
  </si>
  <si>
    <t>EMMC_CLK/FSPI0_CLK/SAI0_SDO3_M2/SAI0_SDI1_M2/PDM0_CLK0_M1/PWM2_CH7_M1/GPIO1_B1_d</t>
  </si>
  <si>
    <t>EMMC_RSTN/FSPI0_CSN0/UART6_RX_M2/I2C7_SDA_M0/MIPI_TE_M3/PWM2_CH1_M0/GPIO1_B3_u</t>
  </si>
  <si>
    <t>SDMMC0_D0/FSPI1_D0_M0/DSM_AUD_LP_M0/UART0_RX_M1/UART7_RX_M2/I2C8_SCL_M0/SPI0_MOSI_M1/CAN0_RX_M0/PWM2_CH2_M0/GPIO2_A0_d</t>
  </si>
  <si>
    <t>SDMMC0_D1/FSPI1_D1_M0/DSM_AUD_LN_M0/SAI3_MCLK_M3/UART0_TX_M1/UART7_TX_M2/I2C8_SDA_M0/SPI0_MISO_M1/CAN0_TX_M0/PWM2_CH3_M0/GPIO2_A1_d</t>
  </si>
  <si>
    <t>SDMMC0_D2/FSPI1_D2_M0/DSM_AUD_RP_M0/SAI3_LRCK_M3/JTAG_TCK_M0/UART5_RTSN_M2/SPI0_CSN1_M1/CAN1_RX_M0/I3C1_SCL_M1/GPIO2_A2_d</t>
  </si>
  <si>
    <t>SDMMC0_D3/FSPI1_D3_M0/DSM_AUD_RN_M0/SAI3_SDI_M3/JTAG_TMS_M0/UART5_CTSN_M2/CAN1_TX_M0/I3C1_SDA_M1/GPIO2_A3_d</t>
  </si>
  <si>
    <t>SDMMC0_CMD/FSPI1_CSN0_M0/SAI3_SDO_M3/UART5_RX_M2/I2C5_SDA_M0/SPI0_CSN0_M1/PWM2_CH4_M0/GPIO2_A4_d</t>
  </si>
  <si>
    <t>SDMMC0_CLK/FSPI1_CLK_M0/SAI3_SCLK_M3/TEST_CLK_OUT/UART5_TX_M2/I2C5_SCL_M0/SPI0_CLK_M1/I3C1_SDA_PU_M1/GPIO2_A5_d</t>
  </si>
  <si>
    <t>REF_CLK0_OUT/AUPLL_CLK_IN_M0/GPIO0_A0_d</t>
  </si>
  <si>
    <t>SDMMC0_DETN/SPI2_CSN1_M0/GPIO0_A7_u</t>
  </si>
  <si>
    <t>REF_CLK1_OUT/I2C1_SCL_M1/UART4_TX_M2/PWM1_CH0_M0/GPIO0_B4_d</t>
  </si>
  <si>
    <t>REF_CLK2_OUT/I2C1_SDA_M1/UART4_RX_M2/PWM1_CH1_M0/GPIO0_B5_d</t>
  </si>
  <si>
    <t>SDMMC0_PWREN/SDMMC1_DETN_M2/HDMI_TX_HPDIN_M1/EDP_TX_HPDIN_M1/PWM1_CH2_M0/GPIO0_B6_d</t>
  </si>
  <si>
    <t>SAI1_MCLK_M0/SAI4_MCLK_M0/AUPLL_CLK_IN_M2/PWM2_CH5_M0/GPIO4_A2_d</t>
  </si>
  <si>
    <t>SAI4_SCLK_M0/PDM1_SDI3_M1/FLEXBUS0_D13_M1/SPI3_MOSI_M2/UART6_TX_M0/I2C4_SCL_M1/CAN0_TX_M2/GPIO4_A4_d</t>
  </si>
  <si>
    <t>SAI4_LRCK_M0/PDM1_CLK0_M1/FLEXBUS0_D14_M1/SPI3_MISO_M2/UART6_RX_M0/I2C4_SDA_M1/CAN0_RX_M2/GPIO4_A6_d</t>
  </si>
  <si>
    <t>SAI1_SDO0_M0/SAI4_SDI_M0/SPI3_CLK_M2/PWM2_CH6_M0/GPIO4_A7_d</t>
  </si>
  <si>
    <t>SAI1_SDO1_M0/SAI1_SDI3_M0/PDM1_CLK1_M1/FLEXBUS1_D13_M1/SPI4_CLK_M2/UART5_TX_M1/UART6_RTSN_M0/UART2_RTSN_M1/GPIO4_B0_d</t>
  </si>
  <si>
    <t>SAI1_SDO2_M0/SAI1_SDI2_M0/PDM1_SDI2_M1/FLEXBUS1_D14_M1/SPI4_MOSI_M2/UART5_RX_M1/UART6_CTSN_M0/UART2_CTSN_M1/GPIO4_B1_d</t>
  </si>
  <si>
    <t>SAI1_SDO3_M0/SAI1_SDI1_M0/PDM1_SDI1_M1/FLEXBUS1_D15_M1/SPI4_MISO_M2/MIPI_TE_M0/GPIO4_B2_d</t>
  </si>
  <si>
    <t>SAI1_SDI0_M0/SAI4_SDO_M0/PDM1_SDI0_M1/SPI4_CSN0_M2/SPI3_CSN1_M2/PWM2_CH7_M0/GPIO4_B3_d</t>
  </si>
  <si>
    <t>ETH1_TXD3_M1/SDMMC1_CMD_M0/PDM0_SDI2_M2/UART3_TX_M2/SPI1_CSN1_M0/PWM0_CH0_M1/GPIO1_C0_d</t>
  </si>
  <si>
    <t>ETH1_TXCLK_M1/SDMMC1_CLK_M0/SAI3_MCLK_M1/PDM0_CLK0_M2/UART3_RX_M2/GPIO1_C1_d</t>
  </si>
  <si>
    <t>ETH1_PPSCLK_M1/SDMMC1_PWREN_M0/FSPI1_RSTN_M1/FSPI1_CSN1_M1/UART4_RTSN_M1/I2C6_SCL_M1/SPI2_CSN1_M1/PWM1_CH2_M1/GPIO1_C2_u</t>
  </si>
  <si>
    <t>ETH1_PPSTRIG_M1/SDMMC1_DETN_M0/FSPI1_CSN0_M1/UART4_CTSN_M1/I2C6_SDA_M1/SPI2_CSN0_M1/GPIO1_C3_u</t>
  </si>
  <si>
    <t>1E21</t>
  </si>
  <si>
    <t>1E22</t>
  </si>
  <si>
    <t>VI_CIF_D15/SDMMC1_D0_M1/ETH0_RXD0_M1/SAI0_SDO0_M0/UART8_TX_M1/SPI4_CSN1_M3/I2C4_SCL_M2/GPIO2_A6_d</t>
  </si>
  <si>
    <t>VI_CIF_D14/SDMMC1_D1_M1/ETH0_TXCTL_M1/SAI0_SDO1_M0/UART8_RX_M1/I2C4_SDA_M2/GPIO2_A7_d</t>
  </si>
  <si>
    <t>VI_CIF_D13/SDMMC1_D2_M1/ETH0_TXD1_M1/SAI0_SDI0_M0/PDM0_SDI3_M3/UART1_TX_M1/GPIO2_B0_d</t>
  </si>
  <si>
    <t>VI_CIF_D12/SDMMC1_D3_M1/ETH0_TXD0_M1/SAI0_SDI1_M0/PDM0_SDI2_M3/UART1_RX_M1/GPIO2_B1_d</t>
  </si>
  <si>
    <t>VI_CIF_D7/ETH1_PTP_REFCLK_M1/ETH0_RXD3_M1/SAI0_SCLK_M0/UART7_TX_M0/UART8_RTSN_M1/I2C8_SCL_M2/GPIO2_B6_d</t>
  </si>
  <si>
    <t>VI_CIF_D6/ETH0_RXD2_M1/SAI0_LRCK_M0/UART7_RX_M0/UART8_CTSN_M1/I2C8_SDA_M2/GPIO2_B7_d</t>
  </si>
  <si>
    <t>VI_CIF_D5/ETH1_RXD2_M0/ETH0_PTP_REFCLK_M1/PDM1_SDI1_M0/UART9_RX_M0/PWM1_CH0_M2/GPIO2_C0_d</t>
  </si>
  <si>
    <t>VI_CIF_D4/ETH1_RXD3_M0/ETH0_PPSCLK_M1/SAI2_MCLK_M1/PDM1_CLK1_M0/UART9_TX_M0/SPI1_CSN1_M1/PWM1_CH1_M2/GPIO2_C1_d</t>
  </si>
  <si>
    <t>VI_CIF_D3/ETH1_RXCLK_M0/ETH0_PPSTRIG_M1/SAI2_SCLK_M1/PDM1_SDI2_M0/UART11_CTSN_M1/SPI1_MOSI_M1/PWM1_CH2_M2/GPIO2_C2_d</t>
  </si>
  <si>
    <t>VI_CIF_D2/ETH1_TXD2_M0/SAI2_LRCK_M1/PDM1_SDI3_M0/UART11_RTSN_M1/SPI1_MISO_M1/PWM0_CH0_M2/GPIO2_C3_d</t>
  </si>
  <si>
    <t>VI_CIF_D1/ETH1_TXD3_M0/SAI2_SDO_M1/PDM1_SDI0_M0/UART11_TX_M1/SPI1_CSN0_M1/PWM1_CH3_M2/GPIO2_C4_d</t>
  </si>
  <si>
    <t>VI_CIF_D0/ETH1_TXCLK_M0/SAI2_SDI_M1/PDM1_CLK0_M0/UART11_RX_M1/SPI1_CLK_M1/PWM1_CH4_M2/GPIO2_C5_d</t>
  </si>
  <si>
    <t>ETH1_TXD0_M0/SAI4_SCLK_M3/UART4_CTSN_M0/I2C5_SCL_M2/PWM1_CH5_M2/GPIO2_C6_d</t>
  </si>
  <si>
    <t>ETH1_TXD1_M0/SAI4_LRCK_M3/UART4_RTSN_M0/I2C5_SDA_M2/PWM0_CH1_M2/GPIO2_C7_d</t>
  </si>
  <si>
    <t>ETH1_TXCTL_M0/SAI4_SDI_M3/UART4_TX_M0/I2C6_SCL_M2/PWM2_CH0_M2/GPIO2_D0_d</t>
  </si>
  <si>
    <t>ETH1_RXD0_M0/SAI4_SDO_M3/UART4_RX_M0/I2C6_SDA_M2/PWM2_CH1_M2/GPIO2_D1_d</t>
  </si>
  <si>
    <t>CAM_CLK0_OUT_M1/ETH1_RXD1_M0/SAI4_MCLK_M3/UART6_TX_M1/I3C1_SCL_M0/PWM2_CH2_M2/GPIO2_D2_d</t>
  </si>
  <si>
    <t>ETH1_RXCTL_M0/UART6_RX_M1/I3C1_SDA_M0/PWM2_CH3_M2/GPIO2_D3_d</t>
  </si>
  <si>
    <t>ISP_PRELIGHT_TRIG_M0/ETH1_MDC_M0/UART6_RTSN_M1/I2C9_SDA_M2/PWM2_CH4_M2/GPIO2_D4_d</t>
  </si>
  <si>
    <t>ISP_FLASH_TRIGOUT_M0/ETH1_MDIO_M0/UART6_CTSN_M1/I2C9_SCL_M2/PWM2_CH5_M2/GPIO2_D5_d</t>
  </si>
  <si>
    <t>CAM_CLK1_OUT_M1/ETH_CLK1_25M_OUT_M0/ETH0_MCLK_M1/SAI3_MCLK_M2/SPDIF_RX0_M2/UART9_RTSN_M0/I3C1_SDA_PU_M0/PWM2_CH6_M2/GPIO2_D6_d</t>
  </si>
  <si>
    <t>1E15</t>
  </si>
  <si>
    <t>CAM_CLK2_OUT_M1/ETH1_MCLK_M0/ETH_CLK0_25M_OUT_M1/SAI0_SDO3_M0/SPDIF_TX0_M2/UART9_CTSN_M0/SPI3_CSN1_M0/PWM2_CH7_M2/GPIO2_D7_d</t>
  </si>
  <si>
    <t>VI_CIF_HREF/ETH0_MDIO_M1/SAI3_SCLK_M2/UART3_TX_M0/SPI3_CLK_M0/I2C7_SCL_M1/GPIO3_A0_d</t>
  </si>
  <si>
    <t>VI_CIF_VSYNC/ETH1_PPSTRIG_M0/ETH0_MDC_M1/SAI3_LRCK_M2/UART3_RX_M0/SPI3_MOSI_M0/I2C7_SDA_M1/GPIO3_A1_d</t>
  </si>
  <si>
    <t>VI_CIF_CLKO/ETH1_PPSCLK_M0/ETH0_RXCTL_M1/SAI3_SDO_M2/SPDIF_RX1_M1/UART3_CTSN_M0/SPI3_MISO_M0/CAN1_TX_M3/MIPI_TE_M1/GPIO3_A2_d</t>
  </si>
  <si>
    <t>VI_CIF_CLKI/ETH1_PTP_REFCLK_M0/ETH0_RXD1_M1/SAI3_SDI_M2/SPDIF_TX1_M1/UART3_RTSN_M0/SPI3_CSN0_M0/CAN1_RX_M3/GPIO3_A3_d</t>
  </si>
  <si>
    <t>VO_LCDC_D23/VO_EBC_SDSHR/ETH_CLK0_25M_OUT_M0/SAI4_SDI_M1/DSMC_RDYN/FLEXBUS1_D11/FLEXBUS0_CSN_M0/UART1_CTSN_M2/SPI2_CLK_M2/PWM1_CH0_M3/GPIO3_A4_d</t>
  </si>
  <si>
    <t>VO_LCDC_D22/VO_EBC_GDSP/ETH0_MDIO_M0/PDM1_SDI3_M2/DSMC_DATA15/FLEXBUS0_D7/UART1_RTSN_M2/SPI2_CSN1_M2/PWM1_CH1_M3/GPIO3_A5_d</t>
  </si>
  <si>
    <t>VO_LCDC_D21/VO_EBC_GDOE/ETH0_MDC_M0/PDM1_SDI2_M2/DSMC_DATA14/FLEXBUS0_D6/UART1_RX_M2/UART10_CTSN_M0/PWM1_CH2_M3/GPIO3_A6_d</t>
  </si>
  <si>
    <t>VO_LCDC_D20/VO_EBC_VCOM/ETH0_RXCTL_M0/PDM1_CLK1_M2/DSMC_DATA13/FLEXBUS0_D5/UART1_TX_M2/UART10_RTSN_M0/GPIO3_A7_d</t>
  </si>
  <si>
    <t>VO_LCDC_D19/VO_EBC_SDCE3/ETH0_MCLK_M0/SAI4_MCLK_M1/DSMC_CSN1/FLEXBUS0_D8/UART10_RX_M0/SPI2_MOSI_M2/PWM0_CH0_M3/GPIO3_B0_d</t>
  </si>
  <si>
    <t>VO_LCDC_D18/VO_EBC_SDCE2/ETH0_RXD1_M0/PDM1_CLK0_M2/DSMC_DATA12/FLEXBUS0_D4/UART10_TX_M0/SPI4_CSN0_M1/PWM1_CH3_M3/GPIO3_B1_d</t>
  </si>
  <si>
    <t>VO_LCDC_D17/VO_EBC_SDCE1/ETH0_RXD0_M0/PDM1_SDI1_M2/DSMC_DATA11/FLEXBUS0_D3/UART9_RX_M1/I2C8_SDA_M3/GPIO3_B2_d</t>
  </si>
  <si>
    <t>VO_LCDC_D16/VO_EBC_SDCE0/ETH0_TXCTL_M0/PDM1_SDI0_M2/DSMC_DATA10/FLEXBUS0_D2/UART9_TX_M1/I2C8_SCL_M3/GPIO3_B3_d</t>
  </si>
  <si>
    <t>VO_LCDC_D15/VO_EBC_SDDO15/ETH0_TXD1_M0/SPDIF_RX1_M0/DSMC_DATA9/FLEXBUS0_D1/UART9_RTSN_M1/PWM1_CH4_M3/GPIO3_B4_d</t>
  </si>
  <si>
    <t>VO_LCDC_D14/VO_EBC_SDDO14/ETH0_TXD0_M0/SPDIF_TX1_M0/DSMC_DATA8/FLEXBUS0_D0/UART9_CTSN_M1/PWM1_CH5_M3/GPIO3_B5_d</t>
  </si>
  <si>
    <t>VO_LCDC_D13/VO_EBC_SDDO13/ETH0_TXCLK_M0/DSMC_DQS1/FLEXBUS0_CLK/SPI3_CSN0_M1/PWM0_CH1_M3/GPIO3_B6_d</t>
  </si>
  <si>
    <t>VO_LCDC_D12/VO_EBC_SDDO12/ETH0_PPSTRIG_M0/SAI1_SDI0_M1/DSMC_DQS0/FLEXBUS1_D10/FLEXBUS1_CSN_M0/UART2_RX_M2/UART3_CTSN_M1/I2C4_SDA_M3/GPIO3_B7_d</t>
  </si>
  <si>
    <t>1E9</t>
  </si>
  <si>
    <t>VO_LCDC_D11/VO_EBC_SDDO11/ETH0_PPSCLK_M0/SAI1_SDO3_M1/DSMC_DATA7/FLEXBUS1_D9/UART2_TX_M2/UART3_RTSN_M1/I2C4_SCL_M3/GPIO3_C0_d</t>
  </si>
  <si>
    <t>VO_LCDC_D10/VO_EBC_SDDO10/ETH0_PTP_REFCLK_M0/SAI1_SDO2_M1/DSMC_DATA6/FLEXBUS1_D8/UART11_RX_M0/SPI2_MISO_M2/I2C5_SDA_M3/CAN0_RX_M3/GPIO3_C1_d</t>
  </si>
  <si>
    <t>VO_LCDC_D9/VO_EBC_SDDO9/ETH0_TXD3_M0/SAI2_SCLK_M2/DSMC_INT1/FLEXBUS0_D9/UART11_RTSN_M0/SPI4_MISO_M1/I2C9_SCL_M3/PWM2_CH0_M3/GPIO3_C2_d</t>
  </si>
  <si>
    <t>VO_LCDC_D8/VO_EBC_SDDO8/ETH0_TXD2_M0/SAI2_LRCK_M2/DSMC_INT3/FLEXBUS0_D10/FLEXBUS0_CSN_M2/UART11_CTSN_M0/SPI4_MOSI_M1/I2C9_SDA_M3/PWM2_CH1_M3/GPIO3_C3_d</t>
  </si>
  <si>
    <t>VO_LCDC_D7/VO_EBC_SDDO7/SAI1_SDO1_M1/DSMC_DATA5/FLEXBUS1_D7/UART11_TX_M0/SPI2_CSN0_M2/I2C5_SCL_M3/CAN0_TX_M3/GPIO3_C4_d</t>
  </si>
  <si>
    <t>VO_LCDC_D6/VO_EBC_SDDO6/SAI1_SDO0_M1/DSMC_DATA4/FLEXBUS1_D6/UART8_RX_M0/SPI1_MISO_M2/PWM2_CH2_M3/GPIO3_C5_d</t>
  </si>
  <si>
    <t>VO_LCDC_D5/VO_EBC_SDDO5/SAI1_LRCK_M1/DSMC_DATA3/FLEXBUS1_D5/UART8_TX_M0/SPI1_MOSI_M2/GPIO3_C6_d</t>
  </si>
  <si>
    <t>VO_LCDC_D4/VO_EBC_SDDO4/SAI1_SCLK_M1/DSMC_DATA2/FLEXBUS1_D4/UART8_RTSN_M0/SPI1_CLK_M2/GPIO3_C7_d</t>
  </si>
  <si>
    <t>VO_LCDC_D3/VO_EBC_SDDO3/SAI1_MCLK_M1/DSMC_DATA1/FLEXBUS1_D3/UART8_CTSN_M0/SPI1_CSN0_M2/PWM2_CH3_M3/GPIO3_D0_d</t>
  </si>
  <si>
    <t>VO_LCDC_D2/VO_EBC_SDDO2/ETH0_RXCLK_M0/SAI2_MCLK_M2/DSMC_CSN2/FLEXBUS0_D11/FLEXBUS1_CSN_M2/SPI4_CLK_M1/I3C1_SDA_PU_M2/GPIO3_D1_d</t>
  </si>
  <si>
    <t>VO_LCDC_D1/VO_EBC_SDDO1/ETH0_RXD3_M0/SAI2_SDI_M2/DSMC_CSN3/FLEXBUS0_D12/FLEXBUS1_D15_M0/FLEXBUS0_CSN_M3/UART2_RTSN_M2/SPI4_CSN1_M1/I3C1_SDA_M2/PWM2_CH4_M3/GPIO3_D2_d</t>
  </si>
  <si>
    <t>VO_LCDC_D0/VO_EBC_SDDO0/ETH0_RXD2_M0/SAI2_SDO_M2/DSMC_CSN0/FLEXBUS1_D2/UART2_CTSN_M2/I3C1_SCL_M2/PWM2_CH5_M3/GPIO3_D3_d</t>
  </si>
  <si>
    <t>1E12</t>
  </si>
  <si>
    <t>VO_LCDC_DEN/VO_EBC_SDLE/SAI1_SDI1_M1/DSMC_DATA0/FLEXBUS1_D1/UART5_RX_M0/SPI3_CLK_M1/I2C3_SCL_M2/GPIO3_D4_d</t>
  </si>
  <si>
    <t>VO_LCDC_HSYNC/VO_EBC_GDCLK/SAI1_SDI2_M1/DSMC_CLKP/FLEXBUS1_D0/UART5_TX_M0/SPI3_MISO_M1/I2C3_SDA_M2/GPIO3_D5_d</t>
  </si>
  <si>
    <t>VO_LCDC_VSYNC/VO_EBC_SDCLK/SAI1_SDI3_M1/DSMC_CLKN/FLEXBUS1_CLK/UART5_CTSN_M0/SPI3_MOSI_M1/PWM2_CH6_M3/GPIO3_D6_d</t>
  </si>
  <si>
    <t>1E7</t>
  </si>
  <si>
    <t>VO_LCDC_CLK/VO_EBC_SDOE/CAM_CLK0_OUT_M0/SAI4_SCLK_M1/DSMC_RESETN/FLEXBUS0_D15_M0/FLEXBUS1_D12_M0/FLEXBUS1_CSN_M1/UART5_RTSN_M0/SPI3_CSN1_M1/PWM2_CH7_M3/GPIO3_D7_d</t>
  </si>
  <si>
    <t>SPDIF_RX0_M1/CAM_CLK1_OUT_M0/SAI4_LRCK_M1/DSMC_INT0/FLEXBUS0_D13_M0/FLEXBUS1_D14_M0/FLEXBUS1_CSN_M3/UART3_TX_M1/SPI1_CSN1_M2/I2C7_SCL_M2/MIPI_TE_M2/GPIO4_A0_d</t>
  </si>
  <si>
    <t>VO_POST_EMPTY/SPDIF_TX0_M1/CAM_CLK2_OUT_M0/SAI4_SDO_M1/DSMC_INT2/FLEXBUS0_D14_M0/FLEXBUS1_D13_M0/FLEXBUS0_CSN_M1/UART3_RX_M1/I2C7_SDA_M2/GPIO4_A1_d</t>
  </si>
  <si>
    <t>DP_TX_AUXP</t>
  </si>
  <si>
    <t>DP_TX_AUXN</t>
  </si>
  <si>
    <t>Part V</t>
  </si>
  <si>
    <t/>
  </si>
  <si>
    <t>V0.1</t>
    <phoneticPr fontId="35" type="noConversion"/>
  </si>
  <si>
    <r>
      <t>Unite: um(microns</t>
    </r>
    <r>
      <rPr>
        <sz val="12"/>
        <color theme="1"/>
        <rFont val="宋体"/>
        <family val="3"/>
        <charset val="134"/>
      </rPr>
      <t>）</t>
    </r>
    <phoneticPr fontId="35" type="noConversion"/>
  </si>
  <si>
    <t>mil</t>
    <phoneticPr fontId="35" type="noConversion"/>
  </si>
  <si>
    <t>SAI1_LRCK_M0/FLEXBUS1_D12_M1/SPI4_CSN1_M2/UART5_CTSN_M1/I2C2_SDA_M2/PCIE1_CLKREQN_M2/GPIO4_A5_d</t>
  </si>
  <si>
    <t>SPDIF_TX0_M0/FLEXBUS0_D15_M1/UART2_TX_M1/I2C3_SCL_M0/PCIE0_CLKREQN_M2/CAN1_TX_M2/GPIO4_B5_d</t>
  </si>
  <si>
    <t>ETH1_RXD2_M1/SDMMC1_D0_M0/SAI3_SCLK_M1/I2C9_SDA_M1/SPI1_CLK_M0/PCIE1_CLKREQN_M1/PWM1_CH0_M1/GPIO1_B4_d</t>
  </si>
  <si>
    <t>ETH1_RXCLK_M1/SDMMC1_D2_M0/SAI3_SDO_M1/UART3_CTSN_M2/SPI1_MISO_M0/PCIE0_CLKREQN_M1/GPIO1_B6_d</t>
  </si>
  <si>
    <t>ETH1_TXD0_M1/FSPI1_D0_M1/UART4_TX_M1/UART2_RTSN_M0/SPI2_MOSI_M1/PCIE0_BUTTONRSTN/GPIO1_C4_d</t>
  </si>
  <si>
    <t>ETH1_TXD1_M1/FSPI1_D1_M1/UART4_RX_M1/UART2_CTSN_M0/SPI2_MISO_M1/PCIE1_BUTTONRSTN/GPIO1_C5_d</t>
  </si>
  <si>
    <t>VI_CIF_D11/SDMMC1_CMD_M1/ETH0_TXD3_M1/SAI0_SDI2_M0/PDM0_SDI1_M3/UART1_CTSN_M1/SPI4_CSN0_M3/PCIE0_CLKREQN_M0/GPIO2_B2_d</t>
  </si>
  <si>
    <t>VI_CIF_D10/SDMMC1_CLK_M1/ETH0_TXCLK_M1/SAI0_SDO2_M0/PDM0_CLK1_M3/UART1_RTSN_M1/SPI4_CLK_M3/PCIE1_CLKREQN_M0/GPIO2_B3_d</t>
  </si>
  <si>
    <t>PCIE0_REFCLKP</t>
  </si>
  <si>
    <t>PCIE0_REFCLKN</t>
  </si>
  <si>
    <t>PCIE1_REFCLKP</t>
  </si>
  <si>
    <t>PCIE1_REFCLKN</t>
  </si>
  <si>
    <t>VI_CIF_D9/SDMMC1_PWREN_M1/ETH0_TXD2_M1/SAI0_SDI3_M0/PDM0_SDI0_M3/UART7_CTSN_M0/SPI4_MOSI_M3/SATA0_ACTLED_M0/GPIO2_B4_d</t>
  </si>
  <si>
    <t>VI_CIF_D8/SDMMC1_DETN_M1/ETH0_RXCLK_M1/SAI0_MCLK_M0/PDM0_CLK0_M3/UART7_RTSN_M0/SPI4_MISO_M3/SATA1_ACTLED_M0/GPIO2_B5_d</t>
  </si>
  <si>
    <t>PCIE0_TXP/SATA0_TXP</t>
  </si>
  <si>
    <t>PCIE0_TXN/SATA0_TXN</t>
  </si>
  <si>
    <t>PCIE0_RXP/SATA0_RXP</t>
  </si>
  <si>
    <t>PCIE0_RXN/SATA0_RXN</t>
  </si>
  <si>
    <t>PCIE1_TXP/SATA1_TXP/USB3_OTG1_SSTXP</t>
  </si>
  <si>
    <t>PCIE1_TXN/SATA1_TXN/USB3_OTG1_SSTXN</t>
  </si>
  <si>
    <t>PCIE1_RXP/SATA1_RXP/USB3_OTG1_SSRXP</t>
  </si>
  <si>
    <t>PCIE1_RXN/SATA1_RXN/USB3_OTG1_SSRXN</t>
  </si>
  <si>
    <t>ETH1_TXCTL_M1/FSPI1_D2_M1/PDM0_SDI0_M2/UART2_TX_M0/I2C8_SCL_M1/SATA_CPPOD/GPIO1_C6_d</t>
  </si>
  <si>
    <t>ETH1_RXD0_M1/FSPI1_D3_M1/PDM0_SDI1_M2/UART2_RX_M0/I2C8_SDA_M1/SATA_CPDET/GPIO1_C7_d</t>
  </si>
  <si>
    <t>ETH_CLK1_25M_OUT_M1/FSPI1_CLK_M1/PDM0_CLK1_M2/SPDIF_TX1_M2/UART10_CTSN_M1/I2C5_SDA_M1/SPI2_CLK_M1/SATA_MPSWIT/CLK1_32K_OUT/GPIO1_D5_d</t>
  </si>
  <si>
    <t>2023.11.25</t>
    <phoneticPr fontId="35"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</si>
  <si>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42" type="noConversion"/>
  </si>
  <si>
    <t>RK3576 Package Pin length V1.0</t>
    <phoneticPr fontId="35" type="noConversion"/>
  </si>
  <si>
    <t>Revision:   V1.0</t>
    <phoneticPr fontId="35" type="noConversion"/>
  </si>
  <si>
    <t xml:space="preserve">   Date:        2024/03/18</t>
    <phoneticPr fontId="35" type="noConversion"/>
  </si>
  <si>
    <t xml:space="preserve"> Status:      Release</t>
    <phoneticPr fontId="35" type="noConversion"/>
  </si>
  <si>
    <t>V1.0</t>
    <phoneticPr fontId="35" type="noConversion"/>
  </si>
  <si>
    <t>Release</t>
    <phoneticPr fontId="35" type="noConversion"/>
  </si>
  <si>
    <t>2024.03.18</t>
    <phoneticPr fontId="35" type="noConversion"/>
  </si>
  <si>
    <t>SAI1_SCLK_M0/FLEXBUS1_CSN_M4/SPI3_CSN0_M2/UART5_RTSN_M1/I2C2_SCL_M2/PWM2_CH4_M1/GPIO4_A3_d</t>
    <phoneticPr fontId="35" type="noConversion"/>
  </si>
  <si>
    <t>SPDIF_RX0_M0/FLEXBUS0_CSN_M4/UART2_RX_M1/I2C3_SDA_M0/CAN1_RX_M2/GPIO4_B4_d</t>
    <phoneticPr fontId="35" type="noConversion"/>
  </si>
  <si>
    <t>ETH1_RXD3_M1/SDMMC1_D1_M0/SAI3_LRCK_M1/I2C9_SCL_M1/SPI1_MOSI_M0/PWM1_CH1_M1/GPIO1_B5_d</t>
    <phoneticPr fontId="35" type="noConversion"/>
  </si>
  <si>
    <t>ETH1_TXD2_M1/SDMMC1_D3_M0/SAI3_SDI_M1/UART3_RTSN_M2/SPI1_CSN0_M0/GPIO1_B7_d</t>
    <phoneticPr fontId="35" type="noConversion"/>
  </si>
  <si>
    <t>EMMC_D4/SAI0_MCLK_M2/SAI3_MCLK_M0/SPI0_CSN0_M2/GPIO1_A4_u</t>
    <phoneticPr fontId="35" type="noConversion"/>
  </si>
  <si>
    <t>EMMC_D5/SAI3_SCLK_M0/PDM0_SDI2_M1/SPI0_MOSI_M2/I2C9_SCL_M0/GPIO1_A5_u</t>
    <phoneticPr fontId="35" type="noConversion"/>
  </si>
  <si>
    <t>EMMC_D6/SAI3_LRCK_M0/PDM0_CLK1_M1/SPI0_MISO_M2/I2C9_SDA_M0/GPIO1_A6_u</t>
    <phoneticPr fontId="35" type="noConversion"/>
  </si>
  <si>
    <t>EMMC_D7/SAI0_SDO0_M2/SAI3_SDI_M0/SPI0_CLK_M2/GPIO1_A7_u</t>
    <phoneticPr fontId="35" type="noConversion"/>
  </si>
  <si>
    <t>EMMC_STRB/SAI0_SDI0_M2/SAI3_SDO_M0/PDM0_SDI0_M1/SPI0_CSN1_M2/GPIO1_B2_d</t>
    <phoneticPr fontId="35" type="noConversion"/>
  </si>
  <si>
    <t>ETH1_RXD1_M1/SAI2_SDO_M0/UART10_TX_M1/GPIO1_D0_d</t>
    <phoneticPr fontId="35" type="noConversion"/>
  </si>
  <si>
    <t>ETH1_RXCTL_M1/SAI2_SCLK_M0/UART10_RX_M1/I3C0_SDA_PU_M1/GPIO1_D1_d</t>
    <phoneticPr fontId="35" type="noConversion"/>
  </si>
  <si>
    <t>ETH1_MDC_M1/SAI2_LRCK_M0/I3C0_SCL_M1/PWM1_CH3_M1/GPIO1_D2_d</t>
    <phoneticPr fontId="35" type="noConversion"/>
  </si>
  <si>
    <t>ETH1_MDIO_M1/SAI2_SDI_M0/I3C0_SDA_M1/PWM1_CH4_M1/GPIO1_D3_d</t>
    <phoneticPr fontId="35" type="noConversion"/>
  </si>
  <si>
    <t>ETH1_MCLK_M1/SAI2_MCLK_M0/PDM0_SDI3_M2/SPDIF_RX1_M2/UART10_RTSN_M1/I2C5_SCL_M1/GPIO1_D4_d</t>
    <phoneticPr fontId="35" type="noConversion"/>
  </si>
  <si>
    <t>Wesley.Huang</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</si>
</sst>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14809]dd/mm/yyyy;@"/>
    <numFmt numFmtId="177" formatCode="[$-F400]h:mm:ss\ AM/PM"/>
    <numFmt numFmtId="178" formatCode="0.00_ "/>
  </numFmts>
  <fonts count="44" x14ac:knownFonts="1">
    <font>
      <sz val="10"/>
      <name val="Arial"/>
      <charset val="134"/>
    </font>
    <font>
      <sz val="11"/>
      <color theme="1"/>
      <name val="宋体"/>
      <family val="3"/>
      <charset val="134"/>
      <scheme val="minor"/>
    </font>
    <font>
      <b/>
      <sz val="26"/>
      <color theme="1"/>
      <name val="Times New Roman"/>
      <family val="1"/>
    </font>
    <font>
      <b/>
      <sz val="14"/>
      <color theme="1"/>
      <name val="Times New Roman"/>
      <family val="1"/>
    </font>
    <font>
      <sz val="14"/>
      <color theme="1"/>
      <name val="Times New Roman"/>
      <family val="1"/>
    </font>
    <font>
      <sz val="12"/>
      <color theme="1"/>
      <name val="Times New Roman"/>
      <family val="1"/>
    </font>
    <font>
      <sz val="11"/>
      <color theme="1"/>
      <name val="Times New Roman"/>
      <family val="1"/>
    </font>
    <font>
      <sz val="11"/>
      <name val="Times New Roman"/>
      <family val="1"/>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b/>
      <i/>
      <sz val="14"/>
      <color rgb="FF0066FF"/>
      <name val="Arial"/>
      <family val="2"/>
    </font>
    <font>
      <b/>
      <i/>
      <sz val="12"/>
      <color indexed="10"/>
      <name val="微软雅黑"/>
      <family val="2"/>
      <charset val="134"/>
    </font>
    <font>
      <b/>
      <sz val="26"/>
      <color indexed="48"/>
      <name val="Arial"/>
      <family val="2"/>
    </font>
    <font>
      <sz val="11"/>
      <color indexed="8"/>
      <name val="Calibri"/>
      <family val="2"/>
    </font>
    <font>
      <b/>
      <sz val="11"/>
      <color indexed="52"/>
      <name val="Calibri"/>
      <family val="2"/>
    </font>
    <font>
      <b/>
      <sz val="11"/>
      <color indexed="56"/>
      <name val="Calibri"/>
      <family val="2"/>
    </font>
    <font>
      <sz val="11"/>
      <color indexed="9"/>
      <name val="Calibri"/>
      <family val="2"/>
    </font>
    <font>
      <sz val="11"/>
      <color indexed="62"/>
      <name val="Calibri"/>
      <family val="2"/>
    </font>
    <font>
      <b/>
      <sz val="11"/>
      <color indexed="8"/>
      <name val="Calibri"/>
      <family val="2"/>
    </font>
    <font>
      <sz val="11"/>
      <color indexed="60"/>
      <name val="Calibri"/>
      <family val="2"/>
    </font>
    <font>
      <b/>
      <sz val="11"/>
      <color indexed="9"/>
      <name val="Calibri"/>
      <family val="2"/>
    </font>
    <font>
      <i/>
      <sz val="11"/>
      <color indexed="23"/>
      <name val="Calibri"/>
      <family val="2"/>
    </font>
    <font>
      <b/>
      <sz val="10"/>
      <name val="Arial"/>
      <family val="2"/>
    </font>
    <font>
      <sz val="11"/>
      <color indexed="17"/>
      <name val="Calibri"/>
      <family val="2"/>
    </font>
    <font>
      <b/>
      <sz val="15"/>
      <color indexed="56"/>
      <name val="Calibri"/>
      <family val="2"/>
    </font>
    <font>
      <b/>
      <sz val="13"/>
      <color indexed="56"/>
      <name val="Calibri"/>
      <family val="2"/>
    </font>
    <font>
      <sz val="11"/>
      <color indexed="52"/>
      <name val="Calibri"/>
      <family val="2"/>
    </font>
    <font>
      <b/>
      <sz val="11"/>
      <color indexed="63"/>
      <name val="Calibri"/>
      <family val="2"/>
    </font>
    <font>
      <b/>
      <sz val="18"/>
      <color indexed="56"/>
      <name val="Cambria"/>
      <family val="1"/>
    </font>
    <font>
      <sz val="11"/>
      <color indexed="10"/>
      <name val="Calibri"/>
      <family val="2"/>
    </font>
    <font>
      <sz val="12"/>
      <color indexed="8"/>
      <name val="新細明體"/>
      <family val="1"/>
    </font>
    <font>
      <sz val="12"/>
      <color theme="1"/>
      <name val="宋体"/>
      <family val="3"/>
      <charset val="134"/>
    </font>
    <font>
      <sz val="10"/>
      <name val="Arial"/>
      <family val="2"/>
    </font>
    <font>
      <sz val="9"/>
      <name val="Arial"/>
      <family val="2"/>
    </font>
    <font>
      <sz val="9"/>
      <name val="微软雅黑"/>
      <family val="2"/>
      <charset val="134"/>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
      <sz val="9"/>
      <name val="宋体"/>
      <family val="3"/>
      <charset val="134"/>
    </font>
    <font>
      <sz val="11"/>
      <color theme="1"/>
      <name val="Verdana"/>
      <family val="2"/>
    </font>
  </fonts>
  <fills count="29">
    <fill>
      <patternFill patternType="none"/>
    </fill>
    <fill>
      <patternFill patternType="gray125"/>
    </fill>
    <fill>
      <patternFill patternType="solid">
        <fgColor theme="3" tint="0.79995117038483843"/>
        <bgColor indexed="64"/>
      </patternFill>
    </fill>
    <fill>
      <patternFill patternType="solid">
        <fgColor theme="3" tint="0.39994506668294322"/>
        <bgColor indexed="64"/>
      </patternFill>
    </fill>
    <fill>
      <patternFill patternType="solid">
        <fgColor theme="9" tint="-0.249977111117893"/>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indexed="46"/>
        <bgColor indexed="64"/>
      </patternFill>
    </fill>
    <fill>
      <patternFill patternType="solid">
        <fgColor indexed="45"/>
        <bgColor indexed="64"/>
      </patternFill>
    </fill>
    <fill>
      <patternFill patternType="solid">
        <fgColor indexed="51"/>
        <bgColor indexed="64"/>
      </patternFill>
    </fill>
    <fill>
      <patternFill patternType="solid">
        <fgColor indexed="29"/>
        <bgColor indexed="64"/>
      </patternFill>
    </fill>
    <fill>
      <patternFill patternType="solid">
        <fgColor indexed="36"/>
        <bgColor indexed="64"/>
      </patternFill>
    </fill>
    <fill>
      <patternFill patternType="solid">
        <fgColor indexed="47"/>
        <bgColor indexed="64"/>
      </patternFill>
    </fill>
    <fill>
      <patternFill patternType="solid">
        <fgColor indexed="27"/>
        <bgColor indexed="64"/>
      </patternFill>
    </fill>
    <fill>
      <patternFill patternType="solid">
        <fgColor indexed="62"/>
        <bgColor indexed="64"/>
      </patternFill>
    </fill>
    <fill>
      <patternFill patternType="solid">
        <fgColor indexed="42"/>
        <bgColor indexed="64"/>
      </patternFill>
    </fill>
    <fill>
      <patternFill patternType="solid">
        <fgColor indexed="44"/>
        <bgColor indexed="64"/>
      </patternFill>
    </fill>
    <fill>
      <patternFill patternType="solid">
        <fgColor indexed="30"/>
        <bgColor indexed="64"/>
      </patternFill>
    </fill>
    <fill>
      <patternFill patternType="solid">
        <fgColor indexed="11"/>
        <bgColor indexed="64"/>
      </patternFill>
    </fill>
    <fill>
      <patternFill patternType="solid">
        <fgColor indexed="31"/>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dashed">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85">
    <xf numFmtId="177" fontId="0" fillId="0" borderId="0">
      <alignment vertical="center"/>
    </xf>
    <xf numFmtId="177" fontId="15" fillId="0" borderId="0">
      <alignment vertical="center"/>
    </xf>
    <xf numFmtId="177" fontId="34" fillId="0" borderId="0">
      <alignment vertical="center"/>
    </xf>
    <xf numFmtId="0" fontId="15" fillId="8" borderId="0" applyNumberFormat="0" applyBorder="0" applyAlignment="0" applyProtection="0">
      <alignment vertical="center"/>
    </xf>
    <xf numFmtId="0" fontId="15" fillId="10" borderId="0" applyNumberFormat="0" applyBorder="0" applyAlignment="0" applyProtection="0">
      <alignment vertical="center"/>
    </xf>
    <xf numFmtId="0" fontId="19" fillId="13" borderId="6" applyNumberFormat="0" applyAlignment="0" applyProtection="0">
      <alignment vertical="center"/>
    </xf>
    <xf numFmtId="177" fontId="15" fillId="0" borderId="0">
      <alignment vertical="center"/>
    </xf>
    <xf numFmtId="177" fontId="15" fillId="0" borderId="0">
      <alignment vertical="center"/>
    </xf>
    <xf numFmtId="0" fontId="17" fillId="0" borderId="7" applyNumberFormat="0" applyFill="0" applyAlignment="0" applyProtection="0">
      <alignment vertical="center"/>
    </xf>
    <xf numFmtId="177" fontId="15" fillId="0" borderId="0">
      <alignment vertical="center"/>
    </xf>
    <xf numFmtId="0" fontId="15" fillId="9" borderId="0" applyNumberFormat="0" applyBorder="0" applyAlignment="0" applyProtection="0">
      <alignment vertical="center"/>
    </xf>
    <xf numFmtId="0" fontId="15" fillId="16" borderId="0" applyNumberFormat="0" applyBorder="0" applyAlignment="0" applyProtection="0">
      <alignment vertical="center"/>
    </xf>
    <xf numFmtId="177" fontId="15" fillId="0" borderId="0">
      <alignment vertical="center"/>
    </xf>
    <xf numFmtId="0" fontId="15" fillId="14" borderId="0" applyNumberFormat="0" applyBorder="0" applyAlignment="0" applyProtection="0">
      <alignment vertical="center"/>
    </xf>
    <xf numFmtId="0" fontId="18" fillId="18" borderId="0" applyNumberFormat="0" applyBorder="0" applyAlignment="0" applyProtection="0">
      <alignment vertical="center"/>
    </xf>
    <xf numFmtId="0" fontId="18" fillId="11" borderId="0" applyNumberFormat="0" applyBorder="0" applyAlignment="0" applyProtection="0">
      <alignment vertical="center"/>
    </xf>
    <xf numFmtId="0" fontId="15" fillId="13" borderId="0" applyNumberFormat="0" applyBorder="0" applyAlignment="0" applyProtection="0">
      <alignment vertical="center"/>
    </xf>
    <xf numFmtId="0" fontId="18" fillId="19" borderId="0" applyNumberFormat="0" applyBorder="0" applyAlignment="0" applyProtection="0">
      <alignment vertical="center"/>
    </xf>
    <xf numFmtId="0" fontId="15" fillId="20" borderId="0" applyNumberFormat="0" applyBorder="0" applyAlignment="0" applyProtection="0">
      <alignment vertical="center"/>
    </xf>
    <xf numFmtId="0" fontId="15" fillId="17" borderId="0" applyNumberFormat="0" applyBorder="0" applyAlignment="0" applyProtection="0">
      <alignment vertical="center"/>
    </xf>
    <xf numFmtId="0" fontId="15" fillId="11" borderId="0" applyNumberFormat="0" applyBorder="0" applyAlignment="0" applyProtection="0">
      <alignment vertical="center"/>
    </xf>
    <xf numFmtId="0" fontId="15" fillId="19" borderId="0" applyNumberFormat="0" applyBorder="0" applyAlignment="0" applyProtection="0">
      <alignment vertical="center"/>
    </xf>
    <xf numFmtId="0" fontId="15" fillId="8" borderId="0" applyNumberFormat="0" applyBorder="0" applyAlignment="0" applyProtection="0">
      <alignment vertical="center"/>
    </xf>
    <xf numFmtId="0" fontId="15" fillId="17"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21" fillId="11" borderId="0" applyNumberFormat="0" applyBorder="0" applyAlignment="0" applyProtection="0">
      <alignment vertical="center"/>
    </xf>
    <xf numFmtId="0" fontId="16" fillId="7" borderId="6" applyNumberFormat="0" applyAlignment="0" applyProtection="0">
      <alignment vertical="center"/>
    </xf>
    <xf numFmtId="0" fontId="22" fillId="26" borderId="9" applyNumberForma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16" borderId="0" applyNumberFormat="0" applyBorder="0" applyAlignment="0" applyProtection="0">
      <alignment vertical="center"/>
    </xf>
    <xf numFmtId="0" fontId="26" fillId="0" borderId="10" applyNumberFormat="0" applyFill="0" applyAlignment="0" applyProtection="0">
      <alignment vertical="center"/>
    </xf>
    <xf numFmtId="177" fontId="15" fillId="0" borderId="0">
      <alignment vertical="center"/>
    </xf>
    <xf numFmtId="0" fontId="27" fillId="0" borderId="11" applyNumberFormat="0" applyFill="0" applyAlignment="0" applyProtection="0">
      <alignment vertical="center"/>
    </xf>
    <xf numFmtId="177" fontId="15" fillId="0" borderId="0">
      <alignment vertical="center"/>
    </xf>
    <xf numFmtId="0" fontId="17" fillId="0" borderId="0" applyNumberFormat="0" applyFill="0" applyBorder="0" applyAlignment="0" applyProtection="0">
      <alignment vertical="center"/>
    </xf>
    <xf numFmtId="0" fontId="28" fillId="0" borderId="12" applyNumberFormat="0" applyFill="0" applyAlignment="0" applyProtection="0">
      <alignment vertical="center"/>
    </xf>
    <xf numFmtId="0" fontId="21" fillId="27" borderId="0" applyNumberFormat="0" applyBorder="0" applyAlignment="0" applyProtection="0">
      <alignment vertical="center"/>
    </xf>
    <xf numFmtId="177" fontId="15" fillId="0" borderId="0">
      <alignment vertical="center"/>
    </xf>
    <xf numFmtId="177" fontId="34" fillId="0" borderId="0">
      <alignment vertical="center"/>
    </xf>
    <xf numFmtId="177" fontId="34"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0" fontId="1" fillId="0" borderId="0">
      <alignment vertical="center"/>
    </xf>
    <xf numFmtId="177" fontId="34" fillId="0" borderId="0">
      <alignment vertical="center"/>
    </xf>
    <xf numFmtId="177" fontId="15" fillId="0" borderId="0">
      <alignment vertical="center"/>
    </xf>
    <xf numFmtId="177" fontId="15" fillId="0" borderId="0">
      <alignment vertical="center"/>
    </xf>
    <xf numFmtId="0" fontId="34" fillId="28" borderId="13" applyNumberFormat="0" applyFont="0" applyAlignment="0" applyProtection="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34" fillId="0" borderId="0">
      <alignment vertical="center"/>
    </xf>
    <xf numFmtId="177" fontId="15" fillId="0" borderId="0">
      <alignment vertical="center"/>
    </xf>
    <xf numFmtId="177" fontId="15" fillId="0" borderId="0">
      <alignment vertical="center"/>
    </xf>
    <xf numFmtId="177" fontId="15" fillId="0" borderId="0">
      <alignment vertical="center"/>
    </xf>
    <xf numFmtId="177" fontId="34" fillId="0" borderId="0">
      <alignment vertical="center"/>
    </xf>
    <xf numFmtId="177" fontId="34" fillId="0" borderId="0">
      <alignment vertical="center"/>
    </xf>
    <xf numFmtId="177" fontId="34" fillId="0" borderId="0">
      <alignment vertical="center"/>
    </xf>
    <xf numFmtId="0" fontId="34" fillId="0" borderId="0">
      <alignment vertical="center"/>
    </xf>
    <xf numFmtId="0" fontId="29" fillId="7" borderId="14" applyNumberFormat="0" applyAlignment="0" applyProtection="0">
      <alignment vertical="center"/>
    </xf>
    <xf numFmtId="9" fontId="34" fillId="0" borderId="0" applyFont="0" applyFill="0" applyBorder="0" applyAlignment="0" applyProtection="0">
      <alignment vertical="center"/>
    </xf>
    <xf numFmtId="0" fontId="30" fillId="0" borderId="0" applyNumberFormat="0" applyFill="0" applyBorder="0" applyAlignment="0" applyProtection="0">
      <alignment vertical="center"/>
    </xf>
    <xf numFmtId="0" fontId="1" fillId="0" borderId="0">
      <alignment vertical="center"/>
    </xf>
    <xf numFmtId="0" fontId="20" fillId="0" borderId="8" applyNumberFormat="0" applyFill="0" applyAlignment="0" applyProtection="0">
      <alignment vertical="center"/>
    </xf>
    <xf numFmtId="0" fontId="31" fillId="0" borderId="0" applyNumberFormat="0" applyFill="0" applyBorder="0" applyAlignment="0" applyProtection="0">
      <alignment vertical="center"/>
    </xf>
    <xf numFmtId="176" fontId="34" fillId="0" borderId="0">
      <alignment vertical="center"/>
    </xf>
    <xf numFmtId="0" fontId="32" fillId="0" borderId="0">
      <alignment vertical="center"/>
    </xf>
  </cellStyleXfs>
  <cellXfs count="49">
    <xf numFmtId="177" fontId="0" fillId="0" borderId="0" xfId="0" applyAlignment="1"/>
    <xf numFmtId="0" fontId="1" fillId="0" borderId="0" xfId="59" applyAlignment="1">
      <alignment horizontal="center" vertical="center"/>
    </xf>
    <xf numFmtId="0" fontId="1" fillId="0" borderId="0" xfId="59">
      <alignment vertical="center"/>
    </xf>
    <xf numFmtId="0" fontId="6" fillId="4" borderId="1" xfId="59" applyFont="1" applyFill="1" applyBorder="1" applyAlignment="1">
      <alignment horizontal="center" vertical="center"/>
    </xf>
    <xf numFmtId="0" fontId="7" fillId="5" borderId="1" xfId="0" applyNumberFormat="1" applyFont="1" applyFill="1" applyBorder="1" applyAlignment="1">
      <alignment horizontal="center" vertical="center" wrapText="1"/>
    </xf>
    <xf numFmtId="0" fontId="7" fillId="5" borderId="1" xfId="0" applyNumberFormat="1" applyFont="1" applyFill="1" applyBorder="1" applyAlignment="1">
      <alignment horizontal="left" vertical="center" wrapText="1"/>
    </xf>
    <xf numFmtId="0" fontId="6" fillId="0" borderId="1" xfId="59" applyFont="1" applyBorder="1" applyAlignment="1">
      <alignment horizontal="center" vertical="center"/>
    </xf>
    <xf numFmtId="177" fontId="0" fillId="0" borderId="0" xfId="0" applyAlignment="1">
      <alignment horizontal="center"/>
    </xf>
    <xf numFmtId="177" fontId="9" fillId="6" borderId="4" xfId="0" applyFont="1" applyFill="1" applyBorder="1" applyAlignment="1">
      <alignment horizontal="center" vertical="center" wrapText="1"/>
    </xf>
    <xf numFmtId="177" fontId="9" fillId="6" borderId="1" xfId="0" applyFont="1" applyFill="1" applyBorder="1" applyAlignment="1">
      <alignment horizontal="center" vertical="center" wrapText="1"/>
    </xf>
    <xf numFmtId="2" fontId="10" fillId="6" borderId="4" xfId="0" applyNumberFormat="1" applyFont="1" applyFill="1" applyBorder="1" applyAlignment="1">
      <alignment horizontal="center" vertical="center" wrapText="1"/>
    </xf>
    <xf numFmtId="49" fontId="10" fillId="6" borderId="1" xfId="0" applyNumberFormat="1" applyFont="1" applyFill="1" applyBorder="1" applyAlignment="1">
      <alignment horizontal="left" vertical="center" wrapText="1"/>
    </xf>
    <xf numFmtId="49" fontId="10" fillId="6" borderId="1" xfId="0" applyNumberFormat="1" applyFont="1" applyFill="1" applyBorder="1" applyAlignment="1">
      <alignment horizontal="center" vertical="center" wrapText="1"/>
    </xf>
    <xf numFmtId="14" fontId="10" fillId="6" borderId="1" xfId="0" applyNumberFormat="1" applyFont="1" applyFill="1" applyBorder="1" applyAlignment="1">
      <alignment horizontal="center" vertical="center" wrapText="1"/>
    </xf>
    <xf numFmtId="2" fontId="11" fillId="6" borderId="4" xfId="0" applyNumberFormat="1" applyFont="1" applyFill="1" applyBorder="1" applyAlignment="1">
      <alignment horizontal="center" vertical="center" wrapText="1"/>
    </xf>
    <xf numFmtId="49" fontId="11" fillId="6" borderId="1" xfId="0" applyNumberFormat="1" applyFont="1" applyFill="1" applyBorder="1" applyAlignment="1">
      <alignment horizontal="left" vertical="center" wrapText="1"/>
    </xf>
    <xf numFmtId="49" fontId="11" fillId="6" borderId="1" xfId="0" applyNumberFormat="1" applyFont="1" applyFill="1" applyBorder="1" applyAlignment="1">
      <alignment horizontal="center" vertical="center" wrapText="1"/>
    </xf>
    <xf numFmtId="14" fontId="11" fillId="6" borderId="1" xfId="0" applyNumberFormat="1" applyFont="1" applyFill="1" applyBorder="1" applyAlignment="1">
      <alignment horizontal="center" vertical="center" wrapText="1"/>
    </xf>
    <xf numFmtId="2" fontId="11" fillId="6" borderId="1" xfId="0" applyNumberFormat="1" applyFont="1" applyFill="1" applyBorder="1" applyAlignment="1">
      <alignment horizontal="center" vertical="center" wrapText="1"/>
    </xf>
    <xf numFmtId="177" fontId="12" fillId="6" borderId="1" xfId="0" applyFont="1" applyFill="1" applyBorder="1" applyAlignment="1">
      <alignment horizontal="center"/>
    </xf>
    <xf numFmtId="177" fontId="0" fillId="6" borderId="1" xfId="0" applyFill="1" applyBorder="1" applyAlignment="1"/>
    <xf numFmtId="177" fontId="0" fillId="6" borderId="1" xfId="0" applyFill="1" applyBorder="1" applyAlignment="1">
      <alignment horizontal="center"/>
    </xf>
    <xf numFmtId="177" fontId="13" fillId="6" borderId="1" xfId="0" applyFont="1" applyFill="1" applyBorder="1" applyAlignment="1">
      <alignment horizontal="center"/>
    </xf>
    <xf numFmtId="177" fontId="0" fillId="6" borderId="0" xfId="0" applyFill="1" applyAlignment="1"/>
    <xf numFmtId="177" fontId="14" fillId="6" borderId="0" xfId="0" applyFont="1" applyFill="1" applyAlignment="1"/>
    <xf numFmtId="177" fontId="13" fillId="6" borderId="0" xfId="0" applyFont="1" applyFill="1" applyAlignment="1"/>
    <xf numFmtId="177" fontId="0" fillId="6" borderId="5" xfId="0" applyFill="1" applyBorder="1" applyAlignment="1"/>
    <xf numFmtId="177" fontId="12" fillId="6" borderId="0" xfId="0" applyFont="1" applyFill="1" applyAlignment="1">
      <alignment horizontal="left"/>
    </xf>
    <xf numFmtId="177" fontId="12" fillId="6" borderId="0" xfId="0" applyFont="1" applyFill="1" applyAlignment="1">
      <alignment horizontal="right"/>
    </xf>
    <xf numFmtId="49" fontId="36" fillId="6" borderId="1" xfId="0" applyNumberFormat="1" applyFont="1" applyFill="1" applyBorder="1" applyAlignment="1">
      <alignment horizontal="left" vertical="center" wrapText="1"/>
    </xf>
    <xf numFmtId="0" fontId="7" fillId="4" borderId="1" xfId="0" applyNumberFormat="1" applyFont="1" applyFill="1" applyBorder="1" applyAlignment="1">
      <alignment horizontal="center" vertical="center" wrapText="1"/>
    </xf>
    <xf numFmtId="0" fontId="7" fillId="4" borderId="1" xfId="0" applyNumberFormat="1" applyFont="1" applyFill="1" applyBorder="1" applyAlignment="1">
      <alignment horizontal="left" vertical="center" wrapText="1"/>
    </xf>
    <xf numFmtId="0" fontId="6" fillId="4" borderId="1" xfId="59" applyFont="1" applyFill="1" applyBorder="1" applyAlignment="1">
      <alignment horizontal="left" vertical="center"/>
    </xf>
    <xf numFmtId="0" fontId="6" fillId="0" borderId="1" xfId="59" applyFont="1" applyBorder="1" applyAlignment="1">
      <alignment horizontal="left" vertical="center"/>
    </xf>
    <xf numFmtId="0" fontId="1" fillId="0" borderId="0" xfId="59" applyAlignment="1">
      <alignment horizontal="left" vertical="center"/>
    </xf>
    <xf numFmtId="0" fontId="7" fillId="0" borderId="1" xfId="0" applyNumberFormat="1" applyFont="1" applyBorder="1" applyAlignment="1">
      <alignment horizontal="left" vertical="center" wrapText="1"/>
    </xf>
    <xf numFmtId="178" fontId="5" fillId="3" borderId="1" xfId="59" applyNumberFormat="1" applyFont="1" applyFill="1" applyBorder="1" applyAlignment="1">
      <alignment horizontal="center" vertical="center"/>
    </xf>
    <xf numFmtId="178" fontId="6" fillId="4" borderId="1" xfId="59" applyNumberFormat="1" applyFont="1" applyFill="1" applyBorder="1" applyAlignment="1">
      <alignment horizontal="center" vertical="center"/>
    </xf>
    <xf numFmtId="178" fontId="6" fillId="0" borderId="1" xfId="59" applyNumberFormat="1" applyFont="1" applyBorder="1" applyAlignment="1">
      <alignment horizontal="center" vertical="center"/>
    </xf>
    <xf numFmtId="178" fontId="7" fillId="4" borderId="1" xfId="0" applyNumberFormat="1" applyFont="1" applyFill="1" applyBorder="1" applyAlignment="1">
      <alignment horizontal="center" vertical="center" wrapText="1"/>
    </xf>
    <xf numFmtId="178" fontId="7" fillId="5" borderId="1" xfId="0" applyNumberFormat="1" applyFont="1" applyFill="1" applyBorder="1" applyAlignment="1">
      <alignment horizontal="center" vertical="center" wrapText="1"/>
    </xf>
    <xf numFmtId="178" fontId="1" fillId="0" borderId="0" xfId="59" applyNumberFormat="1" applyAlignment="1">
      <alignment horizontal="center" vertical="center"/>
    </xf>
    <xf numFmtId="177" fontId="37" fillId="6" borderId="0" xfId="0" applyFont="1" applyFill="1" applyAlignment="1">
      <alignment horizontal="left" vertical="top" wrapText="1"/>
    </xf>
    <xf numFmtId="177" fontId="43" fillId="6" borderId="0" xfId="0" applyFont="1" applyFill="1" applyAlignment="1">
      <alignment horizontal="left" vertical="top" wrapText="1"/>
    </xf>
    <xf numFmtId="177" fontId="8" fillId="6" borderId="1" xfId="0" applyFont="1" applyFill="1" applyBorder="1" applyAlignment="1">
      <alignment horizontal="center" vertical="center"/>
    </xf>
    <xf numFmtId="0" fontId="2" fillId="2" borderId="1" xfId="59" applyFont="1" applyFill="1" applyBorder="1" applyAlignment="1">
      <alignment horizontal="center" vertical="center"/>
    </xf>
    <xf numFmtId="178" fontId="4" fillId="3" borderId="1" xfId="59" applyNumberFormat="1" applyFont="1" applyFill="1" applyBorder="1" applyAlignment="1">
      <alignment horizontal="center" vertical="center"/>
    </xf>
    <xf numFmtId="0" fontId="3" fillId="3" borderId="2" xfId="59" applyFont="1" applyFill="1" applyBorder="1" applyAlignment="1">
      <alignment horizontal="center" vertical="center"/>
    </xf>
    <xf numFmtId="0" fontId="3" fillId="3" borderId="3" xfId="59" applyFont="1" applyFill="1" applyBorder="1" applyAlignment="1">
      <alignment horizontal="center" vertical="center"/>
    </xf>
  </cellXfs>
  <cellStyles count="85">
    <cellStyle name="20% - Accent1" xfId="18" xr:uid="{00000000-0005-0000-0000-000042000000}"/>
    <cellStyle name="20% - Accent2" xfId="10" xr:uid="{00000000-0005-0000-0000-00002D000000}"/>
    <cellStyle name="20% - Accent3" xfId="11" xr:uid="{00000000-0005-0000-0000-000030000000}"/>
    <cellStyle name="20% - Accent4" xfId="3" xr:uid="{00000000-0005-0000-0000-000008000000}"/>
    <cellStyle name="20% - Accent5" xfId="13" xr:uid="{00000000-0005-0000-0000-000036000000}"/>
    <cellStyle name="20% - Accent6" xfId="16" xr:uid="{00000000-0005-0000-0000-000040000000}"/>
    <cellStyle name="40% - Accent1" xfId="19" xr:uid="{00000000-0005-0000-0000-000043000000}"/>
    <cellStyle name="40% - Accent2" xfId="20" xr:uid="{00000000-0005-0000-0000-000044000000}"/>
    <cellStyle name="40% - Accent3" xfId="21" xr:uid="{00000000-0005-0000-0000-000045000000}"/>
    <cellStyle name="40% - Accent4" xfId="22" xr:uid="{00000000-0005-0000-0000-000046000000}"/>
    <cellStyle name="40% - Accent5" xfId="23" xr:uid="{00000000-0005-0000-0000-000047000000}"/>
    <cellStyle name="40% - Accent6" xfId="4" xr:uid="{00000000-0005-0000-0000-000010000000}"/>
    <cellStyle name="60% - Accent1" xfId="14" xr:uid="{00000000-0005-0000-0000-000037000000}"/>
    <cellStyle name="60% - Accent2" xfId="15" xr:uid="{00000000-0005-0000-0000-00003A000000}"/>
    <cellStyle name="60% - Accent3" xfId="17" xr:uid="{00000000-0005-0000-0000-000041000000}"/>
    <cellStyle name="60% - Accent4" xfId="24" xr:uid="{00000000-0005-0000-0000-000048000000}"/>
    <cellStyle name="60% - Accent5" xfId="25" xr:uid="{00000000-0005-0000-0000-000049000000}"/>
    <cellStyle name="60% - Accent6" xfId="26" xr:uid="{00000000-0005-0000-0000-00004A000000}"/>
    <cellStyle name="Accent1" xfId="27" xr:uid="{00000000-0005-0000-0000-00004B000000}"/>
    <cellStyle name="Accent2" xfId="28" xr:uid="{00000000-0005-0000-0000-00004C000000}"/>
    <cellStyle name="Accent3" xfId="29" xr:uid="{00000000-0005-0000-0000-00004D000000}"/>
    <cellStyle name="Accent4" xfId="30" xr:uid="{00000000-0005-0000-0000-00004E000000}"/>
    <cellStyle name="Accent5" xfId="31" xr:uid="{00000000-0005-0000-0000-00004F000000}"/>
    <cellStyle name="Accent6" xfId="32" xr:uid="{00000000-0005-0000-0000-000050000000}"/>
    <cellStyle name="Bad" xfId="33" xr:uid="{00000000-0005-0000-0000-000051000000}"/>
    <cellStyle name="Calculation" xfId="34" xr:uid="{00000000-0005-0000-0000-000052000000}"/>
    <cellStyle name="Check Cell" xfId="35" xr:uid="{00000000-0005-0000-0000-000053000000}"/>
    <cellStyle name="Explanatory Text" xfId="36" xr:uid="{00000000-0005-0000-0000-000054000000}"/>
    <cellStyle name="Good" xfId="38" xr:uid="{00000000-0005-0000-0000-000056000000}"/>
    <cellStyle name="Heading 1" xfId="39" xr:uid="{00000000-0005-0000-0000-000057000000}"/>
    <cellStyle name="Heading 2" xfId="41" xr:uid="{00000000-0005-0000-0000-000059000000}"/>
    <cellStyle name="Heading 3" xfId="8" xr:uid="{00000000-0005-0000-0000-000028000000}"/>
    <cellStyle name="Heading 4" xfId="43" xr:uid="{00000000-0005-0000-0000-00005B000000}"/>
    <cellStyle name="Input" xfId="5" xr:uid="{00000000-0005-0000-0000-00001E000000}"/>
    <cellStyle name="Linked Cell" xfId="44" xr:uid="{00000000-0005-0000-0000-00005C000000}"/>
    <cellStyle name="Neutral" xfId="45" xr:uid="{00000000-0005-0000-0000-00005D000000}"/>
    <cellStyle name="Normal 2" xfId="46" xr:uid="{00000000-0005-0000-0000-00005E000000}"/>
    <cellStyle name="Normal 2 2" xfId="47" xr:uid="{00000000-0005-0000-0000-00005F000000}"/>
    <cellStyle name="Normal 2 2 2" xfId="48" xr:uid="{00000000-0005-0000-0000-000060000000}"/>
    <cellStyle name="Normal 2 3" xfId="49" xr:uid="{00000000-0005-0000-0000-000061000000}"/>
    <cellStyle name="Normal 2 3 2" xfId="50" xr:uid="{00000000-0005-0000-0000-000062000000}"/>
    <cellStyle name="Normal 2 3 2 2" xfId="6" xr:uid="{00000000-0005-0000-0000-000024000000}"/>
    <cellStyle name="Normal 2 3 3" xfId="51" xr:uid="{00000000-0005-0000-0000-000063000000}"/>
    <cellStyle name="Normal 2 4" xfId="52" xr:uid="{00000000-0005-0000-0000-000064000000}"/>
    <cellStyle name="Normal 2 4 2" xfId="53" xr:uid="{00000000-0005-0000-0000-000065000000}"/>
    <cellStyle name="Normal 2 5" xfId="54" xr:uid="{00000000-0005-0000-0000-000066000000}"/>
    <cellStyle name="Normal 3" xfId="55" xr:uid="{00000000-0005-0000-0000-000067000000}"/>
    <cellStyle name="Normal 3 2" xfId="56" xr:uid="{00000000-0005-0000-0000-000068000000}"/>
    <cellStyle name="Normal 3 2 2" xfId="1" xr:uid="{00000000-0005-0000-0000-000003000000}"/>
    <cellStyle name="Normal 3 2 2 2" xfId="42" xr:uid="{00000000-0005-0000-0000-00005A000000}"/>
    <cellStyle name="Normal 3 2 2 2 2" xfId="57" xr:uid="{00000000-0005-0000-0000-000069000000}"/>
    <cellStyle name="Normal 3 2 2 3" xfId="7" xr:uid="{00000000-0005-0000-0000-000027000000}"/>
    <cellStyle name="Normal 3 2 3" xfId="12" xr:uid="{00000000-0005-0000-0000-000035000000}"/>
    <cellStyle name="Normal 3 2 3 2" xfId="58" xr:uid="{00000000-0005-0000-0000-00006A000000}"/>
    <cellStyle name="Normal 3 2 4" xfId="9" xr:uid="{00000000-0005-0000-0000-00002A000000}"/>
    <cellStyle name="Normal 3 3" xfId="60" xr:uid="{00000000-0005-0000-0000-00006C000000}"/>
    <cellStyle name="Normal 3 4" xfId="61" xr:uid="{00000000-0005-0000-0000-00006D000000}"/>
    <cellStyle name="Normal 3 4 2" xfId="62" xr:uid="{00000000-0005-0000-0000-00006E000000}"/>
    <cellStyle name="Normal 3 4 2 2" xfId="64" xr:uid="{00000000-0005-0000-0000-000070000000}"/>
    <cellStyle name="Normal 3 4 3" xfId="65" xr:uid="{00000000-0005-0000-0000-000071000000}"/>
    <cellStyle name="Normal 3 5" xfId="66" xr:uid="{00000000-0005-0000-0000-000072000000}"/>
    <cellStyle name="Normal 3 5 2" xfId="67" xr:uid="{00000000-0005-0000-0000-000073000000}"/>
    <cellStyle name="Normal 3 6" xfId="68" xr:uid="{00000000-0005-0000-0000-000074000000}"/>
    <cellStyle name="Normal 4" xfId="69" xr:uid="{00000000-0005-0000-0000-000075000000}"/>
    <cellStyle name="Normal 5" xfId="70" xr:uid="{00000000-0005-0000-0000-000076000000}"/>
    <cellStyle name="Normal 5 2" xfId="71" xr:uid="{00000000-0005-0000-0000-000077000000}"/>
    <cellStyle name="Normal 5 2 2" xfId="72" xr:uid="{00000000-0005-0000-0000-000078000000}"/>
    <cellStyle name="Normal 5 3" xfId="40" xr:uid="{00000000-0005-0000-0000-000058000000}"/>
    <cellStyle name="Normal 6" xfId="73" xr:uid="{00000000-0005-0000-0000-000079000000}"/>
    <cellStyle name="Normal 7" xfId="74" xr:uid="{00000000-0005-0000-0000-00007A000000}"/>
    <cellStyle name="Normal 7 2" xfId="2" xr:uid="{00000000-0005-0000-0000-000007000000}"/>
    <cellStyle name="Normal 8" xfId="75" xr:uid="{00000000-0005-0000-0000-00007B000000}"/>
    <cellStyle name="Normal 9" xfId="76" xr:uid="{00000000-0005-0000-0000-00007C000000}"/>
    <cellStyle name="Note" xfId="63" xr:uid="{00000000-0005-0000-0000-00006F000000}"/>
    <cellStyle name="Output" xfId="77" xr:uid="{00000000-0005-0000-0000-00007D000000}"/>
    <cellStyle name="Percent 2" xfId="78" xr:uid="{00000000-0005-0000-0000-00007E000000}"/>
    <cellStyle name="RowLevel_1" xfId="37" xr:uid="{00000000-0005-0000-0000-000055000000}"/>
    <cellStyle name="Title" xfId="79" xr:uid="{00000000-0005-0000-0000-00007F000000}"/>
    <cellStyle name="Total" xfId="81" xr:uid="{00000000-0005-0000-0000-000081000000}"/>
    <cellStyle name="Warning Text" xfId="82" xr:uid="{00000000-0005-0000-0000-000082000000}"/>
    <cellStyle name="常规" xfId="0" builtinId="0"/>
    <cellStyle name="常规 2" xfId="80" xr:uid="{00000000-0005-0000-0000-000080000000}"/>
    <cellStyle name="常规 3" xfId="59" xr:uid="{00000000-0005-0000-0000-00006B000000}"/>
    <cellStyle name="常规 6 4" xfId="83" xr:uid="{00000000-0005-0000-0000-000083000000}"/>
    <cellStyle name="一般_Sheet1" xfId="84" xr:uid="{00000000-0005-0000-0000-000084000000}"/>
  </cellStyles>
  <dxfs count="0"/>
  <tableStyles count="0" defaultTableStyle="TableStyleMedium2" defaultPivotStyle="PivotStyleLight16"/>
  <colors>
    <mruColors>
      <color rgb="FF0099FF"/>
      <color rgb="FF33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2113672</xdr:colOff>
      <xdr:row>3</xdr:row>
      <xdr:rowOff>141595</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tabSelected="1" zoomScaleNormal="100" workbookViewId="0">
      <selection activeCell="C5" sqref="C5"/>
    </sheetView>
  </sheetViews>
  <sheetFormatPr defaultColWidth="0" defaultRowHeight="12.45" zeroHeight="1" x14ac:dyDescent="0.3"/>
  <cols>
    <col min="1" max="2" width="27.53515625" customWidth="1"/>
    <col min="3" max="3" width="32.3828125" customWidth="1"/>
    <col min="4" max="4" width="18" hidden="1" customWidth="1"/>
    <col min="5" max="5" width="9.15234375" hidden="1" customWidth="1"/>
    <col min="6" max="16384" width="9.15234375" hidden="1"/>
  </cols>
  <sheetData>
    <row r="1" spans="1:3" x14ac:dyDescent="0.3">
      <c r="A1" s="23"/>
      <c r="B1" s="23"/>
      <c r="C1" s="23"/>
    </row>
    <row r="2" spans="1:3" x14ac:dyDescent="0.3">
      <c r="A2" s="23"/>
      <c r="B2" s="23"/>
      <c r="C2" s="23"/>
    </row>
    <row r="3" spans="1:3" x14ac:dyDescent="0.3">
      <c r="A3" s="23"/>
      <c r="B3" s="23"/>
      <c r="C3" s="23"/>
    </row>
    <row r="4" spans="1:3" x14ac:dyDescent="0.3">
      <c r="A4" s="23"/>
      <c r="B4" s="23"/>
      <c r="C4" s="23"/>
    </row>
    <row r="5" spans="1:3" ht="24.75" customHeight="1" x14ac:dyDescent="0.3">
      <c r="A5" s="23"/>
      <c r="B5" s="23"/>
      <c r="C5" s="23"/>
    </row>
    <row r="6" spans="1:3" ht="24.75" customHeight="1" x14ac:dyDescent="0.3">
      <c r="A6" s="23"/>
      <c r="B6" s="23"/>
      <c r="C6" s="23"/>
    </row>
    <row r="7" spans="1:3" ht="24.75" customHeight="1" x14ac:dyDescent="0.3">
      <c r="A7" s="23"/>
      <c r="B7" s="23"/>
      <c r="C7" s="23"/>
    </row>
    <row r="8" spans="1:3" ht="24.75" customHeight="1" x14ac:dyDescent="0.3">
      <c r="A8" s="23"/>
      <c r="B8" s="23"/>
      <c r="C8" s="23"/>
    </row>
    <row r="9" spans="1:3" ht="24.75" customHeight="1" x14ac:dyDescent="0.3">
      <c r="A9" s="23"/>
      <c r="B9" s="23"/>
      <c r="C9" s="23"/>
    </row>
    <row r="10" spans="1:3" ht="24.75" customHeight="1" x14ac:dyDescent="0.3">
      <c r="A10" s="23"/>
      <c r="B10" s="23"/>
      <c r="C10" s="23"/>
    </row>
    <row r="11" spans="1:3" ht="24.75" customHeight="1" x14ac:dyDescent="0.3">
      <c r="A11" s="23"/>
      <c r="B11" s="23"/>
      <c r="C11" s="23"/>
    </row>
    <row r="12" spans="1:3" ht="32.6" x14ac:dyDescent="0.75">
      <c r="A12" s="24" t="s">
        <v>129</v>
      </c>
      <c r="B12" s="23"/>
      <c r="C12" s="23"/>
    </row>
    <row r="13" spans="1:3" x14ac:dyDescent="0.3">
      <c r="A13" s="26"/>
      <c r="B13" s="26"/>
      <c r="C13" s="26"/>
    </row>
    <row r="14" spans="1:3" ht="20.149999999999999" customHeight="1" x14ac:dyDescent="0.3">
      <c r="A14" s="23"/>
      <c r="B14" s="23"/>
      <c r="C14" s="23"/>
    </row>
    <row r="15" spans="1:3" ht="20.149999999999999" customHeight="1" x14ac:dyDescent="0.4">
      <c r="A15" s="27" t="s">
        <v>586</v>
      </c>
      <c r="B15" s="28"/>
      <c r="C15" s="23"/>
    </row>
    <row r="16" spans="1:3" ht="20.149999999999999" customHeight="1" x14ac:dyDescent="0.4">
      <c r="A16" s="27" t="s">
        <v>587</v>
      </c>
      <c r="B16" s="28"/>
      <c r="C16" s="23"/>
    </row>
    <row r="17" spans="1:3" ht="20.149999999999999" customHeight="1" x14ac:dyDescent="0.4">
      <c r="A17" s="27" t="s">
        <v>588</v>
      </c>
      <c r="B17" s="23"/>
      <c r="C17" s="23"/>
    </row>
    <row r="18" spans="1:3" ht="20.149999999999999" customHeight="1" x14ac:dyDescent="0.3">
      <c r="A18" s="23"/>
      <c r="B18" s="23"/>
      <c r="C18" s="23"/>
    </row>
    <row r="19" spans="1:3" ht="18.75" customHeight="1" x14ac:dyDescent="0.3">
      <c r="A19" s="23"/>
      <c r="B19" s="23"/>
      <c r="C19" s="23"/>
    </row>
    <row r="20" spans="1:3" ht="18.75" customHeight="1" x14ac:dyDescent="0.3">
      <c r="A20" s="23"/>
      <c r="B20" s="23"/>
      <c r="C20" s="23"/>
    </row>
    <row r="21" spans="1:3" ht="18.75" customHeight="1" x14ac:dyDescent="0.3">
      <c r="A21" s="23"/>
      <c r="B21" s="23"/>
      <c r="C21" s="23"/>
    </row>
    <row r="22" spans="1:3" ht="18.75" customHeight="1" x14ac:dyDescent="0.3">
      <c r="A22" s="23"/>
      <c r="B22" s="23"/>
      <c r="C22" s="23"/>
    </row>
    <row r="23" spans="1:3" ht="18.75" customHeight="1" x14ac:dyDescent="0.3">
      <c r="A23" s="23"/>
      <c r="B23" s="23"/>
      <c r="C23" s="23"/>
    </row>
    <row r="24" spans="1:3" ht="18.75" customHeight="1" x14ac:dyDescent="0.3">
      <c r="A24" s="23"/>
      <c r="B24" s="23"/>
      <c r="C24" s="23"/>
    </row>
    <row r="25" spans="1:3" ht="18.75" customHeight="1" x14ac:dyDescent="0.3">
      <c r="A25" s="23"/>
      <c r="B25" s="23"/>
      <c r="C25" s="23"/>
    </row>
    <row r="26" spans="1:3" ht="18.75" customHeight="1" x14ac:dyDescent="0.3">
      <c r="A26" s="23"/>
      <c r="B26" s="23"/>
      <c r="C26" s="23"/>
    </row>
    <row r="27" spans="1:3" ht="18.75" customHeight="1" x14ac:dyDescent="0.3">
      <c r="A27" s="23"/>
      <c r="B27" s="23"/>
      <c r="C27" s="23"/>
    </row>
    <row r="28" spans="1:3" ht="18.75" customHeight="1" x14ac:dyDescent="0.5">
      <c r="A28" s="25" t="s">
        <v>0</v>
      </c>
      <c r="B28" s="23"/>
      <c r="C28" s="23"/>
    </row>
    <row r="29" spans="1:3" ht="18.75" customHeight="1" x14ac:dyDescent="0.3">
      <c r="A29" s="23"/>
      <c r="B29" s="23"/>
      <c r="C29" s="23"/>
    </row>
  </sheetData>
  <phoneticPr fontId="35" type="noConversion"/>
  <pageMargins left="0.75" right="0.75" top="1" bottom="1" header="0.51" footer="0.51"/>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49D0-7A64-48A6-B57D-68EA5F7A2FB4}">
  <sheetPr>
    <tabColor rgb="FF0099FF"/>
  </sheetPr>
  <dimension ref="A1:D29"/>
  <sheetViews>
    <sheetView workbookViewId="0">
      <selection activeCell="B9" sqref="B9"/>
    </sheetView>
  </sheetViews>
  <sheetFormatPr defaultColWidth="0" defaultRowHeight="12.45" zeroHeight="1" x14ac:dyDescent="0.3"/>
  <cols>
    <col min="1" max="2" width="26" customWidth="1"/>
    <col min="3" max="3" width="30.53515625" customWidth="1"/>
    <col min="4" max="4" width="16.921875" hidden="1" customWidth="1"/>
    <col min="5" max="16384" width="8.61328125" hidden="1"/>
  </cols>
  <sheetData>
    <row r="1" spans="1:3" x14ac:dyDescent="0.3">
      <c r="A1" s="23"/>
      <c r="B1" s="23"/>
      <c r="C1" s="23"/>
    </row>
    <row r="2" spans="1:3" x14ac:dyDescent="0.3">
      <c r="A2" s="23"/>
      <c r="B2" s="23"/>
      <c r="C2" s="23"/>
    </row>
    <row r="3" spans="1:3" x14ac:dyDescent="0.3">
      <c r="A3" s="23"/>
      <c r="B3" s="23"/>
      <c r="C3" s="23"/>
    </row>
    <row r="4" spans="1:3" x14ac:dyDescent="0.3">
      <c r="A4" s="23"/>
      <c r="B4" s="23"/>
      <c r="C4" s="23"/>
    </row>
    <row r="5" spans="1:3" x14ac:dyDescent="0.3">
      <c r="A5" s="23"/>
      <c r="B5" s="23"/>
      <c r="C5" s="23"/>
    </row>
    <row r="6" spans="1:3" x14ac:dyDescent="0.3">
      <c r="A6" s="23"/>
      <c r="B6" s="23"/>
      <c r="C6" s="23"/>
    </row>
    <row r="7" spans="1:3" x14ac:dyDescent="0.3">
      <c r="A7" s="23"/>
      <c r="B7" s="23"/>
      <c r="C7" s="23"/>
    </row>
    <row r="8" spans="1:3" x14ac:dyDescent="0.3">
      <c r="A8" s="23"/>
      <c r="B8" s="23"/>
      <c r="C8" s="23"/>
    </row>
    <row r="9" spans="1:3" x14ac:dyDescent="0.3">
      <c r="A9" s="23"/>
      <c r="B9" s="23"/>
      <c r="C9" s="23"/>
    </row>
    <row r="10" spans="1:3" x14ac:dyDescent="0.3">
      <c r="A10" s="23"/>
      <c r="B10" s="23"/>
      <c r="C10" s="23"/>
    </row>
    <row r="11" spans="1:3" x14ac:dyDescent="0.3">
      <c r="A11" s="23"/>
      <c r="B11" s="23"/>
      <c r="C11" s="23"/>
    </row>
    <row r="12" spans="1:3" ht="32.6" x14ac:dyDescent="0.75">
      <c r="A12" s="24"/>
      <c r="B12" s="23"/>
      <c r="C12" s="23"/>
    </row>
    <row r="13" spans="1:3" x14ac:dyDescent="0.3">
      <c r="A13" s="23"/>
      <c r="B13" s="23"/>
      <c r="C13" s="23"/>
    </row>
    <row r="14" spans="1:3" x14ac:dyDescent="0.3">
      <c r="A14" s="42" t="s">
        <v>584</v>
      </c>
      <c r="B14" s="43"/>
      <c r="C14" s="43"/>
    </row>
    <row r="15" spans="1:3" x14ac:dyDescent="0.3">
      <c r="A15" s="43"/>
      <c r="B15" s="43"/>
      <c r="C15" s="43"/>
    </row>
    <row r="16" spans="1:3" x14ac:dyDescent="0.3">
      <c r="A16" s="43"/>
      <c r="B16" s="43"/>
      <c r="C16" s="43"/>
    </row>
    <row r="17" spans="1:3" x14ac:dyDescent="0.3">
      <c r="A17" s="43"/>
      <c r="B17" s="43"/>
      <c r="C17" s="43"/>
    </row>
    <row r="18" spans="1:3" x14ac:dyDescent="0.3">
      <c r="A18" s="43"/>
      <c r="B18" s="43"/>
      <c r="C18" s="43"/>
    </row>
    <row r="19" spans="1:3" x14ac:dyDescent="0.3">
      <c r="A19" s="43"/>
      <c r="B19" s="43"/>
      <c r="C19" s="43"/>
    </row>
    <row r="20" spans="1:3" x14ac:dyDescent="0.3">
      <c r="A20" s="43"/>
      <c r="B20" s="43"/>
      <c r="C20" s="43"/>
    </row>
    <row r="21" spans="1:3" x14ac:dyDescent="0.3">
      <c r="A21" s="43"/>
      <c r="B21" s="43"/>
      <c r="C21" s="43"/>
    </row>
    <row r="22" spans="1:3" x14ac:dyDescent="0.3">
      <c r="A22" s="43"/>
      <c r="B22" s="43"/>
      <c r="C22" s="43"/>
    </row>
    <row r="23" spans="1:3" x14ac:dyDescent="0.3">
      <c r="A23" s="43"/>
      <c r="B23" s="43"/>
      <c r="C23" s="43"/>
    </row>
    <row r="24" spans="1:3" x14ac:dyDescent="0.3">
      <c r="A24" s="43"/>
      <c r="B24" s="43"/>
      <c r="C24" s="43"/>
    </row>
    <row r="25" spans="1:3" x14ac:dyDescent="0.3">
      <c r="A25" s="43"/>
      <c r="B25" s="43"/>
      <c r="C25" s="43"/>
    </row>
    <row r="26" spans="1:3" x14ac:dyDescent="0.3">
      <c r="A26" s="43"/>
      <c r="B26" s="43"/>
      <c r="C26" s="43"/>
    </row>
    <row r="27" spans="1:3" x14ac:dyDescent="0.3">
      <c r="A27" s="23"/>
      <c r="B27" s="23"/>
      <c r="C27" s="23"/>
    </row>
    <row r="28" spans="1:3" ht="17.149999999999999" x14ac:dyDescent="0.5">
      <c r="A28" s="25"/>
      <c r="B28" s="23"/>
      <c r="C28" s="23"/>
    </row>
    <row r="29" spans="1:3" x14ac:dyDescent="0.3">
      <c r="A29" s="23"/>
      <c r="B29" s="23"/>
      <c r="C29" s="23"/>
    </row>
  </sheetData>
  <sheetProtection algorithmName="SHA-512" hashValue="9AfAl9TUkK6TRIdpXX6rrgLmfWvQjRai5Tsc6bxGhxEiBnaPzkXB9dUibXMU1sVyjD6nOJzmsolRl+D/+lKDNA==" saltValue="qg1odfLdQrcjgO0UHYAsiA==" spinCount="100000" sheet="1" objects="1" scenarios="1"/>
  <mergeCells count="1">
    <mergeCell ref="A14:C26"/>
  </mergeCells>
  <phoneticPr fontId="3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C6" sqref="C6"/>
    </sheetView>
  </sheetViews>
  <sheetFormatPr defaultColWidth="0" defaultRowHeight="12.75" customHeight="1" zeroHeight="1" x14ac:dyDescent="0.3"/>
  <cols>
    <col min="1" max="1" width="9.15234375" style="7" customWidth="1"/>
    <col min="2" max="2" width="60.53515625" customWidth="1"/>
    <col min="3" max="3" width="15" style="7" customWidth="1"/>
    <col min="4" max="4" width="14.3046875" style="7" customWidth="1"/>
    <col min="5" max="5" width="18" hidden="1" customWidth="1"/>
    <col min="6" max="6" width="9.15234375" hidden="1" customWidth="1"/>
    <col min="7" max="16384" width="9.15234375" hidden="1"/>
  </cols>
  <sheetData>
    <row r="1" spans="1:4" ht="15" customHeight="1" x14ac:dyDescent="0.3">
      <c r="A1" s="44" t="s">
        <v>1</v>
      </c>
      <c r="B1" s="44"/>
      <c r="C1" s="44"/>
      <c r="D1" s="44"/>
    </row>
    <row r="2" spans="1:4" ht="14.25" customHeight="1" x14ac:dyDescent="0.3">
      <c r="A2" s="44"/>
      <c r="B2" s="44"/>
      <c r="C2" s="44"/>
      <c r="D2" s="44"/>
    </row>
    <row r="3" spans="1:4" ht="12.9" x14ac:dyDescent="0.3">
      <c r="A3" s="8" t="s">
        <v>2</v>
      </c>
      <c r="B3" s="9" t="s">
        <v>3</v>
      </c>
      <c r="C3" s="9" t="s">
        <v>4</v>
      </c>
      <c r="D3" s="9" t="s">
        <v>5</v>
      </c>
    </row>
    <row r="4" spans="1:4" ht="25.3" customHeight="1" x14ac:dyDescent="0.3">
      <c r="A4" s="10" t="s">
        <v>555</v>
      </c>
      <c r="B4" s="29" t="s">
        <v>130</v>
      </c>
      <c r="C4" s="12" t="s">
        <v>606</v>
      </c>
      <c r="D4" s="13" t="s">
        <v>583</v>
      </c>
    </row>
    <row r="5" spans="1:4" ht="25.3" customHeight="1" x14ac:dyDescent="0.3">
      <c r="A5" s="10" t="s">
        <v>589</v>
      </c>
      <c r="B5" s="11" t="s">
        <v>590</v>
      </c>
      <c r="C5" s="12" t="s">
        <v>606</v>
      </c>
      <c r="D5" s="13" t="s">
        <v>591</v>
      </c>
    </row>
    <row r="6" spans="1:4" ht="25.3" customHeight="1" x14ac:dyDescent="0.3">
      <c r="A6" s="10"/>
      <c r="B6" s="11"/>
      <c r="C6" s="12"/>
      <c r="D6" s="13"/>
    </row>
    <row r="7" spans="1:4" ht="25.3" customHeight="1" x14ac:dyDescent="0.3">
      <c r="A7" s="10"/>
      <c r="B7" s="11"/>
      <c r="C7" s="12"/>
      <c r="D7" s="13"/>
    </row>
    <row r="8" spans="1:4" ht="25.3" customHeight="1" x14ac:dyDescent="0.3">
      <c r="A8" s="10"/>
      <c r="B8" s="11"/>
      <c r="C8" s="12"/>
      <c r="D8" s="13"/>
    </row>
    <row r="9" spans="1:4" ht="25.3" customHeight="1" x14ac:dyDescent="0.3">
      <c r="A9" s="10"/>
      <c r="B9" s="11"/>
      <c r="C9" s="12"/>
      <c r="D9" s="13"/>
    </row>
    <row r="10" spans="1:4" ht="25.3" customHeight="1" x14ac:dyDescent="0.3">
      <c r="A10" s="10"/>
      <c r="B10" s="11"/>
      <c r="C10" s="12"/>
      <c r="D10" s="13"/>
    </row>
    <row r="11" spans="1:4" ht="25.3" customHeight="1" x14ac:dyDescent="0.3">
      <c r="A11" s="10"/>
      <c r="B11" s="11"/>
      <c r="C11" s="12"/>
      <c r="D11" s="13"/>
    </row>
    <row r="12" spans="1:4" ht="25.3" customHeight="1" x14ac:dyDescent="0.3">
      <c r="A12" s="14"/>
      <c r="B12" s="15"/>
      <c r="C12" s="16"/>
      <c r="D12" s="17"/>
    </row>
    <row r="13" spans="1:4" ht="25.3" customHeight="1" x14ac:dyDescent="0.3">
      <c r="A13" s="14"/>
      <c r="B13" s="15"/>
      <c r="C13" s="16"/>
      <c r="D13" s="17"/>
    </row>
    <row r="14" spans="1:4" ht="25.3" customHeight="1" x14ac:dyDescent="0.3">
      <c r="A14" s="14"/>
      <c r="B14" s="15"/>
      <c r="C14" s="16"/>
      <c r="D14" s="17"/>
    </row>
    <row r="15" spans="1:4" ht="25.3" customHeight="1" x14ac:dyDescent="0.3">
      <c r="A15" s="14"/>
      <c r="B15" s="15"/>
      <c r="C15" s="16"/>
      <c r="D15" s="17"/>
    </row>
    <row r="16" spans="1:4" ht="25.3" customHeight="1" x14ac:dyDescent="0.3">
      <c r="A16" s="18"/>
      <c r="B16" s="15"/>
      <c r="C16" s="16"/>
      <c r="D16" s="17"/>
    </row>
    <row r="17" spans="1:4" ht="25.3" customHeight="1" x14ac:dyDescent="0.4">
      <c r="A17" s="19"/>
      <c r="B17" s="20"/>
      <c r="C17" s="21"/>
      <c r="D17" s="21"/>
    </row>
    <row r="18" spans="1:4" ht="25.3" customHeight="1" x14ac:dyDescent="0.3">
      <c r="A18" s="21"/>
      <c r="B18" s="20"/>
      <c r="C18" s="21"/>
      <c r="D18" s="21"/>
    </row>
    <row r="19" spans="1:4" ht="25.3" customHeight="1" x14ac:dyDescent="0.3">
      <c r="A19" s="21"/>
      <c r="B19" s="20"/>
      <c r="C19" s="21"/>
      <c r="D19" s="21"/>
    </row>
    <row r="20" spans="1:4" ht="25.3" customHeight="1" x14ac:dyDescent="0.3">
      <c r="A20" s="21"/>
      <c r="B20" s="20"/>
      <c r="C20" s="21"/>
      <c r="D20" s="21"/>
    </row>
    <row r="21" spans="1:4" ht="25.3" customHeight="1" x14ac:dyDescent="0.3">
      <c r="A21" s="21"/>
      <c r="B21" s="20"/>
      <c r="C21" s="21"/>
      <c r="D21" s="21"/>
    </row>
    <row r="22" spans="1:4" ht="25.3" customHeight="1" x14ac:dyDescent="0.3">
      <c r="A22" s="21"/>
      <c r="B22" s="20"/>
      <c r="C22" s="21"/>
      <c r="D22" s="21"/>
    </row>
    <row r="23" spans="1:4" ht="25.3" customHeight="1" x14ac:dyDescent="0.3">
      <c r="A23" s="21"/>
      <c r="B23" s="20"/>
      <c r="C23" s="21"/>
      <c r="D23" s="21"/>
    </row>
    <row r="24" spans="1:4" ht="25.3" customHeight="1" x14ac:dyDescent="0.3">
      <c r="A24" s="21"/>
      <c r="B24" s="20"/>
      <c r="C24" s="21"/>
      <c r="D24" s="21"/>
    </row>
    <row r="25" spans="1:4" ht="25.3" customHeight="1" x14ac:dyDescent="0.3">
      <c r="A25" s="21"/>
      <c r="B25" s="20"/>
      <c r="C25" s="21"/>
      <c r="D25" s="21"/>
    </row>
    <row r="26" spans="1:4" ht="25.3" customHeight="1" x14ac:dyDescent="0.3">
      <c r="A26" s="21"/>
      <c r="B26" s="20"/>
      <c r="C26" s="21"/>
      <c r="D26" s="21"/>
    </row>
    <row r="27" spans="1:4" ht="25.3" customHeight="1" x14ac:dyDescent="0.3">
      <c r="A27" s="21"/>
      <c r="B27" s="20"/>
      <c r="C27" s="21"/>
      <c r="D27" s="21"/>
    </row>
    <row r="28" spans="1:4" ht="25.3" customHeight="1" x14ac:dyDescent="0.5">
      <c r="A28" s="22"/>
      <c r="B28" s="20"/>
      <c r="C28" s="21"/>
      <c r="D28" s="21"/>
    </row>
    <row r="29" spans="1:4" ht="25.3" customHeight="1" x14ac:dyDescent="0.3">
      <c r="A29" s="21"/>
      <c r="B29" s="20"/>
      <c r="C29" s="21"/>
      <c r="D29" s="21"/>
    </row>
  </sheetData>
  <mergeCells count="1">
    <mergeCell ref="A1:D2"/>
  </mergeCells>
  <phoneticPr fontId="3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4"/>
  <sheetViews>
    <sheetView zoomScale="70" zoomScaleNormal="70" workbookViewId="0">
      <pane ySplit="3" topLeftCell="A4" activePane="bottomLeft" state="frozen"/>
      <selection pane="bottomLeft" activeCell="B2" sqref="B2:B3"/>
    </sheetView>
  </sheetViews>
  <sheetFormatPr defaultColWidth="9.15234375" defaultRowHeight="14.15" x14ac:dyDescent="0.3"/>
  <cols>
    <col min="1" max="1" width="14.3046875" style="1" customWidth="1"/>
    <col min="2" max="2" width="112.3046875" style="34" customWidth="1"/>
    <col min="3" max="4" width="21.69140625" style="41" customWidth="1"/>
    <col min="5" max="16384" width="9.15234375" style="2"/>
  </cols>
  <sheetData>
    <row r="1" spans="1:4" ht="37.5" customHeight="1" x14ac:dyDescent="0.3">
      <c r="A1" s="45" t="s">
        <v>585</v>
      </c>
      <c r="B1" s="45"/>
      <c r="C1" s="45"/>
      <c r="D1" s="45"/>
    </row>
    <row r="2" spans="1:4" ht="18" x14ac:dyDescent="0.3">
      <c r="A2" s="47" t="s">
        <v>6</v>
      </c>
      <c r="B2" s="47" t="s">
        <v>7</v>
      </c>
      <c r="C2" s="46" t="s">
        <v>8</v>
      </c>
      <c r="D2" s="46"/>
    </row>
    <row r="3" spans="1:4" ht="15.45" x14ac:dyDescent="0.3">
      <c r="A3" s="48"/>
      <c r="B3" s="48"/>
      <c r="C3" s="36" t="s">
        <v>556</v>
      </c>
      <c r="D3" s="36" t="s">
        <v>557</v>
      </c>
    </row>
    <row r="4" spans="1:4" x14ac:dyDescent="0.3">
      <c r="A4" s="3" t="s">
        <v>9</v>
      </c>
      <c r="B4" s="32"/>
      <c r="C4" s="37"/>
      <c r="D4" s="37"/>
    </row>
    <row r="5" spans="1:4" x14ac:dyDescent="0.3">
      <c r="A5" s="4" t="s">
        <v>10</v>
      </c>
      <c r="B5" s="5" t="s">
        <v>169</v>
      </c>
      <c r="C5" s="38">
        <v>6676.732</v>
      </c>
      <c r="D5" s="38">
        <f>C5/25.4</f>
        <v>262.86346456692917</v>
      </c>
    </row>
    <row r="6" spans="1:4" x14ac:dyDescent="0.3">
      <c r="A6" s="4" t="s">
        <v>339</v>
      </c>
      <c r="B6" s="5" t="s">
        <v>171</v>
      </c>
      <c r="C6" s="38">
        <v>7584.9960000000001</v>
      </c>
      <c r="D6" s="38">
        <f t="shared" ref="D6:D68" si="0">C6/25.4</f>
        <v>298.62188976377956</v>
      </c>
    </row>
    <row r="7" spans="1:4" x14ac:dyDescent="0.3">
      <c r="A7" s="4" t="s">
        <v>347</v>
      </c>
      <c r="B7" s="5" t="s">
        <v>185</v>
      </c>
      <c r="C7" s="38">
        <v>6784.7049999999999</v>
      </c>
      <c r="D7" s="38">
        <f t="shared" si="0"/>
        <v>267.11437007874019</v>
      </c>
    </row>
    <row r="8" spans="1:4" x14ac:dyDescent="0.3">
      <c r="A8" s="4" t="s">
        <v>14</v>
      </c>
      <c r="B8" s="5" t="s">
        <v>187</v>
      </c>
      <c r="C8" s="38">
        <v>5082.5709999999999</v>
      </c>
      <c r="D8" s="38">
        <f t="shared" si="0"/>
        <v>200.10122047244096</v>
      </c>
    </row>
    <row r="9" spans="1:4" x14ac:dyDescent="0.3">
      <c r="A9" s="4" t="s">
        <v>350</v>
      </c>
      <c r="B9" s="5" t="s">
        <v>189</v>
      </c>
      <c r="C9" s="38">
        <v>6410.5540000000001</v>
      </c>
      <c r="D9" s="38">
        <f t="shared" si="0"/>
        <v>252.38401574803152</v>
      </c>
    </row>
    <row r="10" spans="1:4" x14ac:dyDescent="0.3">
      <c r="A10" s="4" t="s">
        <v>352</v>
      </c>
      <c r="B10" s="5" t="s">
        <v>191</v>
      </c>
      <c r="C10" s="38">
        <v>5751.6660000000002</v>
      </c>
      <c r="D10" s="38">
        <f t="shared" si="0"/>
        <v>226.44354330708663</v>
      </c>
    </row>
    <row r="11" spans="1:4" x14ac:dyDescent="0.3">
      <c r="A11" s="4" t="s">
        <v>11</v>
      </c>
      <c r="B11" s="5" t="s">
        <v>193</v>
      </c>
      <c r="C11" s="38">
        <v>7344.7139999999999</v>
      </c>
      <c r="D11" s="38">
        <f t="shared" si="0"/>
        <v>289.16196850393703</v>
      </c>
    </row>
    <row r="12" spans="1:4" x14ac:dyDescent="0.3">
      <c r="A12" s="4" t="s">
        <v>13</v>
      </c>
      <c r="B12" s="5" t="s">
        <v>195</v>
      </c>
      <c r="C12" s="38">
        <v>7671.0910000000003</v>
      </c>
      <c r="D12" s="38">
        <f t="shared" si="0"/>
        <v>302.01145669291344</v>
      </c>
    </row>
    <row r="13" spans="1:4" x14ac:dyDescent="0.3">
      <c r="A13" s="4" t="s">
        <v>336</v>
      </c>
      <c r="B13" s="5" t="s">
        <v>165</v>
      </c>
      <c r="C13" s="38">
        <v>6396.2569999999996</v>
      </c>
      <c r="D13" s="38">
        <f t="shared" si="0"/>
        <v>251.82114173228345</v>
      </c>
    </row>
    <row r="14" spans="1:4" x14ac:dyDescent="0.3">
      <c r="A14" s="4" t="s">
        <v>358</v>
      </c>
      <c r="B14" s="5" t="s">
        <v>203</v>
      </c>
      <c r="C14" s="38">
        <v>7592.3190000000004</v>
      </c>
      <c r="D14" s="38">
        <f t="shared" si="0"/>
        <v>298.91019685039373</v>
      </c>
    </row>
    <row r="15" spans="1:4" x14ac:dyDescent="0.3">
      <c r="A15" s="4" t="s">
        <v>12</v>
      </c>
      <c r="B15" s="5" t="s">
        <v>201</v>
      </c>
      <c r="C15" s="38">
        <v>7497.53</v>
      </c>
      <c r="D15" s="38">
        <f t="shared" si="0"/>
        <v>295.17834645669291</v>
      </c>
    </row>
    <row r="16" spans="1:4" x14ac:dyDescent="0.3">
      <c r="A16" s="4" t="s">
        <v>366</v>
      </c>
      <c r="B16" s="5" t="s">
        <v>214</v>
      </c>
      <c r="C16" s="38">
        <v>9055.9879999999994</v>
      </c>
      <c r="D16" s="38">
        <f t="shared" si="0"/>
        <v>356.53496062992127</v>
      </c>
    </row>
    <row r="17" spans="1:4" x14ac:dyDescent="0.3">
      <c r="A17" s="4" t="s">
        <v>364</v>
      </c>
      <c r="B17" s="5" t="s">
        <v>212</v>
      </c>
      <c r="C17" s="38">
        <v>8437.4950000000008</v>
      </c>
      <c r="D17" s="38">
        <f t="shared" si="0"/>
        <v>332.18484251968511</v>
      </c>
    </row>
    <row r="18" spans="1:4" x14ac:dyDescent="0.3">
      <c r="A18" s="4" t="s">
        <v>354</v>
      </c>
      <c r="B18" s="5" t="s">
        <v>197</v>
      </c>
      <c r="C18" s="38">
        <v>6549.09</v>
      </c>
      <c r="D18" s="38">
        <f t="shared" si="0"/>
        <v>257.83818897637798</v>
      </c>
    </row>
    <row r="19" spans="1:4" x14ac:dyDescent="0.3">
      <c r="A19" s="4" t="s">
        <v>356</v>
      </c>
      <c r="B19" s="5" t="s">
        <v>199</v>
      </c>
      <c r="C19" s="38">
        <v>6410.7950000000001</v>
      </c>
      <c r="D19" s="38">
        <f t="shared" si="0"/>
        <v>252.39350393700789</v>
      </c>
    </row>
    <row r="20" spans="1:4" x14ac:dyDescent="0.3">
      <c r="A20" s="4" t="s">
        <v>341</v>
      </c>
      <c r="B20" s="5" t="s">
        <v>173</v>
      </c>
      <c r="C20" s="38">
        <v>7068.1369999999997</v>
      </c>
      <c r="D20" s="38">
        <f t="shared" si="0"/>
        <v>278.27311023622048</v>
      </c>
    </row>
    <row r="21" spans="1:4" x14ac:dyDescent="0.3">
      <c r="A21" s="4" t="s">
        <v>122</v>
      </c>
      <c r="B21" s="5" t="s">
        <v>175</v>
      </c>
      <c r="C21" s="38">
        <v>6879.8040000000001</v>
      </c>
      <c r="D21" s="38">
        <f t="shared" si="0"/>
        <v>270.85842519685042</v>
      </c>
    </row>
    <row r="22" spans="1:4" x14ac:dyDescent="0.3">
      <c r="A22" s="4" t="s">
        <v>342</v>
      </c>
      <c r="B22" s="5" t="s">
        <v>177</v>
      </c>
      <c r="C22" s="38">
        <v>5629.89</v>
      </c>
      <c r="D22" s="38">
        <f t="shared" si="0"/>
        <v>221.64921259842521</v>
      </c>
    </row>
    <row r="23" spans="1:4" x14ac:dyDescent="0.3">
      <c r="A23" s="4" t="s">
        <v>343</v>
      </c>
      <c r="B23" s="5" t="s">
        <v>179</v>
      </c>
      <c r="C23" s="38">
        <v>4948.71</v>
      </c>
      <c r="D23" s="38">
        <f t="shared" si="0"/>
        <v>194.83110236220475</v>
      </c>
    </row>
    <row r="24" spans="1:4" x14ac:dyDescent="0.3">
      <c r="A24" s="4" t="s">
        <v>345</v>
      </c>
      <c r="B24" s="5" t="s">
        <v>181</v>
      </c>
      <c r="C24" s="38">
        <v>5135.4219999999996</v>
      </c>
      <c r="D24" s="38">
        <f t="shared" si="0"/>
        <v>202.18196850393701</v>
      </c>
    </row>
    <row r="25" spans="1:4" x14ac:dyDescent="0.3">
      <c r="A25" s="4" t="s">
        <v>346</v>
      </c>
      <c r="B25" s="5" t="s">
        <v>183</v>
      </c>
      <c r="C25" s="38">
        <v>6138.13</v>
      </c>
      <c r="D25" s="38">
        <f t="shared" si="0"/>
        <v>241.65866141732286</v>
      </c>
    </row>
    <row r="26" spans="1:4" x14ac:dyDescent="0.3">
      <c r="A26" s="4" t="s">
        <v>123</v>
      </c>
      <c r="B26" s="5" t="s">
        <v>167</v>
      </c>
      <c r="C26" s="38">
        <v>6791.9319999999998</v>
      </c>
      <c r="D26" s="38">
        <f t="shared" si="0"/>
        <v>267.3988976377953</v>
      </c>
    </row>
    <row r="27" spans="1:4" x14ac:dyDescent="0.3">
      <c r="A27" s="4" t="s">
        <v>360</v>
      </c>
      <c r="B27" s="5" t="s">
        <v>207</v>
      </c>
      <c r="C27" s="38">
        <v>5643.74</v>
      </c>
      <c r="D27" s="38">
        <f t="shared" si="0"/>
        <v>222.19448818897638</v>
      </c>
    </row>
    <row r="28" spans="1:4" x14ac:dyDescent="0.3">
      <c r="A28" s="4" t="s">
        <v>359</v>
      </c>
      <c r="B28" s="5" t="s">
        <v>205</v>
      </c>
      <c r="C28" s="38">
        <v>5645.7209999999995</v>
      </c>
      <c r="D28" s="38">
        <f t="shared" si="0"/>
        <v>222.27248031496063</v>
      </c>
    </row>
    <row r="29" spans="1:4" x14ac:dyDescent="0.3">
      <c r="A29" s="4" t="s">
        <v>369</v>
      </c>
      <c r="B29" s="5" t="s">
        <v>218</v>
      </c>
      <c r="C29" s="38">
        <v>6796.5389999999998</v>
      </c>
      <c r="D29" s="38">
        <f t="shared" si="0"/>
        <v>267.5802755905512</v>
      </c>
    </row>
    <row r="30" spans="1:4" x14ac:dyDescent="0.3">
      <c r="A30" s="4" t="s">
        <v>368</v>
      </c>
      <c r="B30" s="5" t="s">
        <v>216</v>
      </c>
      <c r="C30" s="38">
        <v>6120.0709999999999</v>
      </c>
      <c r="D30" s="38">
        <f t="shared" si="0"/>
        <v>240.94767716535435</v>
      </c>
    </row>
    <row r="31" spans="1:4" x14ac:dyDescent="0.3">
      <c r="A31" s="4" t="s">
        <v>313</v>
      </c>
      <c r="B31" s="5" t="s">
        <v>141</v>
      </c>
      <c r="C31" s="38">
        <v>5054.03</v>
      </c>
      <c r="D31" s="38">
        <f t="shared" si="0"/>
        <v>198.97755905511812</v>
      </c>
    </row>
    <row r="32" spans="1:4" x14ac:dyDescent="0.3">
      <c r="A32" s="4" t="s">
        <v>314</v>
      </c>
      <c r="B32" s="5" t="s">
        <v>143</v>
      </c>
      <c r="C32" s="38">
        <v>4203.9889999999996</v>
      </c>
      <c r="D32" s="38">
        <f t="shared" si="0"/>
        <v>165.51137795275591</v>
      </c>
    </row>
    <row r="33" spans="1:4" x14ac:dyDescent="0.3">
      <c r="A33" s="4" t="s">
        <v>316</v>
      </c>
      <c r="B33" s="5" t="s">
        <v>145</v>
      </c>
      <c r="C33" s="38">
        <v>4360.3429999999998</v>
      </c>
      <c r="D33" s="38">
        <f t="shared" si="0"/>
        <v>171.6670472440945</v>
      </c>
    </row>
    <row r="34" spans="1:4" x14ac:dyDescent="0.3">
      <c r="A34" s="4" t="s">
        <v>318</v>
      </c>
      <c r="B34" s="5" t="s">
        <v>147</v>
      </c>
      <c r="C34" s="38">
        <v>3850.6770000000001</v>
      </c>
      <c r="D34" s="38">
        <f t="shared" si="0"/>
        <v>151.60145669291339</v>
      </c>
    </row>
    <row r="35" spans="1:4" x14ac:dyDescent="0.3">
      <c r="A35" s="4" t="s">
        <v>320</v>
      </c>
      <c r="B35" s="5" t="s">
        <v>149</v>
      </c>
      <c r="C35" s="38">
        <v>3954.694</v>
      </c>
      <c r="D35" s="38">
        <f t="shared" si="0"/>
        <v>155.69661417322834</v>
      </c>
    </row>
    <row r="36" spans="1:4" x14ac:dyDescent="0.3">
      <c r="A36" s="4" t="s">
        <v>322</v>
      </c>
      <c r="B36" s="5" t="s">
        <v>151</v>
      </c>
      <c r="C36" s="38">
        <v>3500.0590000000002</v>
      </c>
      <c r="D36" s="38">
        <f t="shared" si="0"/>
        <v>137.79759842519687</v>
      </c>
    </row>
    <row r="37" spans="1:4" x14ac:dyDescent="0.3">
      <c r="A37" s="4" t="s">
        <v>362</v>
      </c>
      <c r="B37" s="5" t="s">
        <v>210</v>
      </c>
      <c r="C37" s="38">
        <v>2035.077</v>
      </c>
      <c r="D37" s="38">
        <f t="shared" si="0"/>
        <v>80.121141732283462</v>
      </c>
    </row>
    <row r="38" spans="1:4" x14ac:dyDescent="0.3">
      <c r="A38" s="4" t="s">
        <v>330</v>
      </c>
      <c r="B38" s="5" t="s">
        <v>159</v>
      </c>
      <c r="C38" s="38">
        <v>6015.6790000000001</v>
      </c>
      <c r="D38" s="38">
        <f t="shared" si="0"/>
        <v>236.83775590551184</v>
      </c>
    </row>
    <row r="39" spans="1:4" x14ac:dyDescent="0.3">
      <c r="A39" s="4" t="s">
        <v>328</v>
      </c>
      <c r="B39" s="5" t="s">
        <v>157</v>
      </c>
      <c r="C39" s="38">
        <v>6103.8689999999997</v>
      </c>
      <c r="D39" s="38">
        <f t="shared" si="0"/>
        <v>240.3098031496063</v>
      </c>
    </row>
    <row r="40" spans="1:4" x14ac:dyDescent="0.3">
      <c r="A40" s="4" t="s">
        <v>332</v>
      </c>
      <c r="B40" s="5" t="s">
        <v>161</v>
      </c>
      <c r="C40" s="38">
        <v>2466.7800000000002</v>
      </c>
      <c r="D40" s="38">
        <f t="shared" si="0"/>
        <v>97.117322834645677</v>
      </c>
    </row>
    <row r="41" spans="1:4" x14ac:dyDescent="0.3">
      <c r="A41" s="4" t="s">
        <v>334</v>
      </c>
      <c r="B41" s="5" t="s">
        <v>163</v>
      </c>
      <c r="C41" s="38">
        <v>2973.5390000000002</v>
      </c>
      <c r="D41" s="38">
        <f t="shared" si="0"/>
        <v>117.06846456692915</v>
      </c>
    </row>
    <row r="42" spans="1:4" x14ac:dyDescent="0.3">
      <c r="A42" s="4" t="s">
        <v>324</v>
      </c>
      <c r="B42" s="5" t="s">
        <v>153</v>
      </c>
      <c r="C42" s="38">
        <v>3590.538</v>
      </c>
      <c r="D42" s="38">
        <f t="shared" si="0"/>
        <v>141.35976377952755</v>
      </c>
    </row>
    <row r="43" spans="1:4" x14ac:dyDescent="0.3">
      <c r="A43" s="4" t="s">
        <v>326</v>
      </c>
      <c r="B43" s="5" t="s">
        <v>155</v>
      </c>
      <c r="C43" s="38">
        <v>2413.81</v>
      </c>
      <c r="D43" s="38">
        <f t="shared" si="0"/>
        <v>95.031889763779532</v>
      </c>
    </row>
    <row r="44" spans="1:4" x14ac:dyDescent="0.3">
      <c r="A44" s="4" t="s">
        <v>338</v>
      </c>
      <c r="B44" s="5" t="s">
        <v>170</v>
      </c>
      <c r="C44" s="38">
        <v>9650.3940000000002</v>
      </c>
      <c r="D44" s="38">
        <f t="shared" si="0"/>
        <v>379.93677165354336</v>
      </c>
    </row>
    <row r="45" spans="1:4" x14ac:dyDescent="0.3">
      <c r="A45" s="4" t="s">
        <v>340</v>
      </c>
      <c r="B45" s="5" t="s">
        <v>172</v>
      </c>
      <c r="C45" s="38">
        <v>8264.3230000000003</v>
      </c>
      <c r="D45" s="38">
        <f t="shared" si="0"/>
        <v>325.36704724409452</v>
      </c>
    </row>
    <row r="46" spans="1:4" x14ac:dyDescent="0.3">
      <c r="A46" s="4" t="s">
        <v>348</v>
      </c>
      <c r="B46" s="5" t="s">
        <v>186</v>
      </c>
      <c r="C46" s="38">
        <v>7139.8519999999999</v>
      </c>
      <c r="D46" s="38">
        <f t="shared" si="0"/>
        <v>281.09653543307087</v>
      </c>
    </row>
    <row r="47" spans="1:4" x14ac:dyDescent="0.3">
      <c r="A47" s="4" t="s">
        <v>349</v>
      </c>
      <c r="B47" s="5" t="s">
        <v>188</v>
      </c>
      <c r="C47" s="38">
        <v>7240.5609999999997</v>
      </c>
      <c r="D47" s="38">
        <f t="shared" si="0"/>
        <v>285.0614566929134</v>
      </c>
    </row>
    <row r="48" spans="1:4" x14ac:dyDescent="0.3">
      <c r="A48" s="4" t="s">
        <v>351</v>
      </c>
      <c r="B48" s="5" t="s">
        <v>190</v>
      </c>
      <c r="C48" s="38">
        <v>9179.982</v>
      </c>
      <c r="D48" s="38">
        <f t="shared" si="0"/>
        <v>361.41661417322837</v>
      </c>
    </row>
    <row r="49" spans="1:4" x14ac:dyDescent="0.3">
      <c r="A49" s="4" t="s">
        <v>353</v>
      </c>
      <c r="B49" s="5" t="s">
        <v>192</v>
      </c>
      <c r="C49" s="38">
        <v>8673.7759999999998</v>
      </c>
      <c r="D49" s="38">
        <f t="shared" si="0"/>
        <v>341.48724409448818</v>
      </c>
    </row>
    <row r="50" spans="1:4" x14ac:dyDescent="0.3">
      <c r="A50" s="4" t="s">
        <v>32</v>
      </c>
      <c r="B50" s="5" t="s">
        <v>194</v>
      </c>
      <c r="C50" s="38">
        <v>10558.263999999999</v>
      </c>
      <c r="D50" s="38">
        <f t="shared" si="0"/>
        <v>415.6796850393701</v>
      </c>
    </row>
    <row r="51" spans="1:4" x14ac:dyDescent="0.3">
      <c r="A51" s="4" t="s">
        <v>18</v>
      </c>
      <c r="B51" s="5" t="s">
        <v>196</v>
      </c>
      <c r="C51" s="38">
        <v>8751.83</v>
      </c>
      <c r="D51" s="38">
        <f t="shared" si="0"/>
        <v>344.56023622047246</v>
      </c>
    </row>
    <row r="52" spans="1:4" x14ac:dyDescent="0.3">
      <c r="A52" s="4" t="s">
        <v>33</v>
      </c>
      <c r="B52" s="5" t="s">
        <v>166</v>
      </c>
      <c r="C52" s="38">
        <v>11193.529</v>
      </c>
      <c r="D52" s="38">
        <f t="shared" si="0"/>
        <v>440.69011811023626</v>
      </c>
    </row>
    <row r="53" spans="1:4" x14ac:dyDescent="0.3">
      <c r="A53" s="4" t="s">
        <v>15</v>
      </c>
      <c r="B53" s="5" t="s">
        <v>204</v>
      </c>
      <c r="C53" s="38">
        <v>7419.9409999999998</v>
      </c>
      <c r="D53" s="38">
        <f t="shared" si="0"/>
        <v>292.12366141732286</v>
      </c>
    </row>
    <row r="54" spans="1:4" x14ac:dyDescent="0.3">
      <c r="A54" s="4" t="s">
        <v>357</v>
      </c>
      <c r="B54" s="5" t="s">
        <v>202</v>
      </c>
      <c r="C54" s="38">
        <v>6994.4740000000002</v>
      </c>
      <c r="D54" s="38">
        <f t="shared" si="0"/>
        <v>275.3729921259843</v>
      </c>
    </row>
    <row r="55" spans="1:4" x14ac:dyDescent="0.3">
      <c r="A55" s="4" t="s">
        <v>367</v>
      </c>
      <c r="B55" s="5" t="s">
        <v>215</v>
      </c>
      <c r="C55" s="38">
        <v>4739.7269999999999</v>
      </c>
      <c r="D55" s="38">
        <f t="shared" si="0"/>
        <v>186.6034251968504</v>
      </c>
    </row>
    <row r="56" spans="1:4" x14ac:dyDescent="0.3">
      <c r="A56" s="4" t="s">
        <v>365</v>
      </c>
      <c r="B56" s="5" t="s">
        <v>213</v>
      </c>
      <c r="C56" s="38">
        <v>4779.3090000000002</v>
      </c>
      <c r="D56" s="38">
        <f t="shared" si="0"/>
        <v>188.16177165354333</v>
      </c>
    </row>
    <row r="57" spans="1:4" x14ac:dyDescent="0.3">
      <c r="A57" s="4" t="s">
        <v>355</v>
      </c>
      <c r="B57" s="5" t="s">
        <v>198</v>
      </c>
      <c r="C57" s="38">
        <v>7788.2669999999998</v>
      </c>
      <c r="D57" s="38">
        <f t="shared" si="0"/>
        <v>306.62468503937009</v>
      </c>
    </row>
    <row r="58" spans="1:4" x14ac:dyDescent="0.3">
      <c r="A58" s="4" t="s">
        <v>19</v>
      </c>
      <c r="B58" s="5" t="s">
        <v>200</v>
      </c>
      <c r="C58" s="38">
        <v>8432.1880000000001</v>
      </c>
      <c r="D58" s="38">
        <f t="shared" si="0"/>
        <v>331.97590551181105</v>
      </c>
    </row>
    <row r="59" spans="1:4" x14ac:dyDescent="0.3">
      <c r="A59" s="4" t="s">
        <v>31</v>
      </c>
      <c r="B59" s="5" t="s">
        <v>174</v>
      </c>
      <c r="C59" s="38">
        <v>8678.85</v>
      </c>
      <c r="D59" s="38">
        <f t="shared" si="0"/>
        <v>341.68700787401576</v>
      </c>
    </row>
    <row r="60" spans="1:4" x14ac:dyDescent="0.3">
      <c r="A60" s="4" t="s">
        <v>30</v>
      </c>
      <c r="B60" s="5" t="s">
        <v>176</v>
      </c>
      <c r="C60" s="38">
        <v>8118.6409999999996</v>
      </c>
      <c r="D60" s="38">
        <f t="shared" si="0"/>
        <v>319.63153543307089</v>
      </c>
    </row>
    <row r="61" spans="1:4" x14ac:dyDescent="0.3">
      <c r="A61" s="4" t="s">
        <v>457</v>
      </c>
      <c r="B61" s="5" t="s">
        <v>178</v>
      </c>
      <c r="C61" s="38">
        <v>5767.6989999999996</v>
      </c>
      <c r="D61" s="38">
        <f t="shared" si="0"/>
        <v>227.07476377952756</v>
      </c>
    </row>
    <row r="62" spans="1:4" x14ac:dyDescent="0.3">
      <c r="A62" s="4" t="s">
        <v>344</v>
      </c>
      <c r="B62" s="5" t="s">
        <v>180</v>
      </c>
      <c r="C62" s="38">
        <v>6299.2070000000003</v>
      </c>
      <c r="D62" s="38">
        <f t="shared" si="0"/>
        <v>248.00027559055121</v>
      </c>
    </row>
    <row r="63" spans="1:4" x14ac:dyDescent="0.3">
      <c r="A63" s="4" t="s">
        <v>16</v>
      </c>
      <c r="B63" s="5" t="s">
        <v>182</v>
      </c>
      <c r="C63" s="38">
        <v>6688.5420000000004</v>
      </c>
      <c r="D63" s="38">
        <f t="shared" si="0"/>
        <v>263.32842519685045</v>
      </c>
    </row>
    <row r="64" spans="1:4" x14ac:dyDescent="0.3">
      <c r="A64" s="4" t="s">
        <v>17</v>
      </c>
      <c r="B64" s="5" t="s">
        <v>184</v>
      </c>
      <c r="C64" s="38">
        <v>7708.4960000000001</v>
      </c>
      <c r="D64" s="38">
        <f t="shared" si="0"/>
        <v>303.48409448818899</v>
      </c>
    </row>
    <row r="65" spans="1:4" x14ac:dyDescent="0.3">
      <c r="A65" s="4" t="s">
        <v>337</v>
      </c>
      <c r="B65" s="5" t="s">
        <v>168</v>
      </c>
      <c r="C65" s="38">
        <v>6704.7139999999999</v>
      </c>
      <c r="D65" s="38">
        <f t="shared" si="0"/>
        <v>263.96511811023623</v>
      </c>
    </row>
    <row r="66" spans="1:4" x14ac:dyDescent="0.3">
      <c r="A66" s="4" t="s">
        <v>28</v>
      </c>
      <c r="B66" s="5" t="s">
        <v>208</v>
      </c>
      <c r="C66" s="38">
        <v>7807.72</v>
      </c>
      <c r="D66" s="38">
        <f t="shared" si="0"/>
        <v>307.39055118110241</v>
      </c>
    </row>
    <row r="67" spans="1:4" x14ac:dyDescent="0.3">
      <c r="A67" s="4" t="s">
        <v>29</v>
      </c>
      <c r="B67" s="5" t="s">
        <v>206</v>
      </c>
      <c r="C67" s="38">
        <v>6969.4350000000004</v>
      </c>
      <c r="D67" s="38">
        <f t="shared" si="0"/>
        <v>274.38720472440946</v>
      </c>
    </row>
    <row r="68" spans="1:4" x14ac:dyDescent="0.3">
      <c r="A68" s="4" t="s">
        <v>370</v>
      </c>
      <c r="B68" s="5" t="s">
        <v>219</v>
      </c>
      <c r="C68" s="38">
        <v>4376.28</v>
      </c>
      <c r="D68" s="38">
        <f t="shared" si="0"/>
        <v>172.29448818897637</v>
      </c>
    </row>
    <row r="69" spans="1:4" x14ac:dyDescent="0.3">
      <c r="A69" s="4" t="s">
        <v>458</v>
      </c>
      <c r="B69" s="5" t="s">
        <v>217</v>
      </c>
      <c r="C69" s="38">
        <v>3880.9450000000002</v>
      </c>
      <c r="D69" s="38">
        <f t="shared" ref="D69:D117" si="1">C69/25.4</f>
        <v>152.79311023622049</v>
      </c>
    </row>
    <row r="70" spans="1:4" x14ac:dyDescent="0.3">
      <c r="A70" s="4" t="s">
        <v>20</v>
      </c>
      <c r="B70" s="5" t="s">
        <v>142</v>
      </c>
      <c r="C70" s="38">
        <v>5815.3310000000001</v>
      </c>
      <c r="D70" s="38">
        <f t="shared" si="1"/>
        <v>228.95003937007877</v>
      </c>
    </row>
    <row r="71" spans="1:4" x14ac:dyDescent="0.3">
      <c r="A71" s="4" t="s">
        <v>315</v>
      </c>
      <c r="B71" s="5" t="s">
        <v>144</v>
      </c>
      <c r="C71" s="38">
        <v>4819.4750000000004</v>
      </c>
      <c r="D71" s="38">
        <f t="shared" si="1"/>
        <v>189.7431102362205</v>
      </c>
    </row>
    <row r="72" spans="1:4" x14ac:dyDescent="0.3">
      <c r="A72" s="4" t="s">
        <v>317</v>
      </c>
      <c r="B72" s="5" t="s">
        <v>146</v>
      </c>
      <c r="C72" s="38">
        <v>3710.46</v>
      </c>
      <c r="D72" s="38">
        <f t="shared" si="1"/>
        <v>146.08110236220475</v>
      </c>
    </row>
    <row r="73" spans="1:4" x14ac:dyDescent="0.3">
      <c r="A73" s="4" t="s">
        <v>319</v>
      </c>
      <c r="B73" s="5" t="s">
        <v>148</v>
      </c>
      <c r="C73" s="38">
        <v>4700.7730000000001</v>
      </c>
      <c r="D73" s="38">
        <f t="shared" si="1"/>
        <v>185.06980314960632</v>
      </c>
    </row>
    <row r="74" spans="1:4" x14ac:dyDescent="0.3">
      <c r="A74" s="4" t="s">
        <v>321</v>
      </c>
      <c r="B74" s="5" t="s">
        <v>150</v>
      </c>
      <c r="C74" s="38">
        <v>3813.3130000000001</v>
      </c>
      <c r="D74" s="38">
        <f t="shared" si="1"/>
        <v>150.13043307086616</v>
      </c>
    </row>
    <row r="75" spans="1:4" x14ac:dyDescent="0.3">
      <c r="A75" s="6" t="s">
        <v>323</v>
      </c>
      <c r="B75" s="33" t="s">
        <v>152</v>
      </c>
      <c r="C75" s="38">
        <v>2196.9690000000001</v>
      </c>
      <c r="D75" s="38">
        <f t="shared" si="1"/>
        <v>86.494842519685051</v>
      </c>
    </row>
    <row r="76" spans="1:4" x14ac:dyDescent="0.3">
      <c r="A76" s="4" t="s">
        <v>363</v>
      </c>
      <c r="B76" s="5" t="s">
        <v>211</v>
      </c>
      <c r="C76" s="38">
        <v>2380.616</v>
      </c>
      <c r="D76" s="38">
        <f t="shared" si="1"/>
        <v>93.725039370078747</v>
      </c>
    </row>
    <row r="77" spans="1:4" x14ac:dyDescent="0.3">
      <c r="A77" s="4" t="s">
        <v>331</v>
      </c>
      <c r="B77" s="5" t="s">
        <v>160</v>
      </c>
      <c r="C77" s="38">
        <v>6286.3519999999999</v>
      </c>
      <c r="D77" s="38">
        <f t="shared" si="1"/>
        <v>247.49417322834645</v>
      </c>
    </row>
    <row r="78" spans="1:4" x14ac:dyDescent="0.3">
      <c r="A78" s="4" t="s">
        <v>329</v>
      </c>
      <c r="B78" s="5" t="s">
        <v>158</v>
      </c>
      <c r="C78" s="38">
        <v>6288.9840000000004</v>
      </c>
      <c r="D78" s="38">
        <f t="shared" si="1"/>
        <v>247.59779527559058</v>
      </c>
    </row>
    <row r="79" spans="1:4" x14ac:dyDescent="0.3">
      <c r="A79" s="4" t="s">
        <v>333</v>
      </c>
      <c r="B79" s="5" t="s">
        <v>162</v>
      </c>
      <c r="C79" s="38">
        <v>2263.5439999999999</v>
      </c>
      <c r="D79" s="38">
        <f t="shared" si="1"/>
        <v>89.115905511811022</v>
      </c>
    </row>
    <row r="80" spans="1:4" x14ac:dyDescent="0.3">
      <c r="A80" s="4" t="s">
        <v>335</v>
      </c>
      <c r="B80" s="5" t="s">
        <v>164</v>
      </c>
      <c r="C80" s="38">
        <v>2558.4630000000002</v>
      </c>
      <c r="D80" s="38">
        <f t="shared" si="1"/>
        <v>100.72688976377954</v>
      </c>
    </row>
    <row r="81" spans="1:4" x14ac:dyDescent="0.3">
      <c r="A81" s="4" t="s">
        <v>325</v>
      </c>
      <c r="B81" s="5" t="s">
        <v>154</v>
      </c>
      <c r="C81" s="38">
        <v>5335.4979999999996</v>
      </c>
      <c r="D81" s="38">
        <f t="shared" si="1"/>
        <v>210.05897637795275</v>
      </c>
    </row>
    <row r="82" spans="1:4" x14ac:dyDescent="0.3">
      <c r="A82" s="4" t="s">
        <v>327</v>
      </c>
      <c r="B82" s="5" t="s">
        <v>156</v>
      </c>
      <c r="C82" s="38">
        <v>5002.9080000000004</v>
      </c>
      <c r="D82" s="38">
        <f t="shared" si="1"/>
        <v>196.9648818897638</v>
      </c>
    </row>
    <row r="83" spans="1:4" x14ac:dyDescent="0.3">
      <c r="A83" s="4" t="s">
        <v>361</v>
      </c>
      <c r="B83" s="5" t="s">
        <v>209</v>
      </c>
      <c r="C83" s="38">
        <v>3073.547</v>
      </c>
      <c r="D83" s="38">
        <f t="shared" si="1"/>
        <v>121.00578740157481</v>
      </c>
    </row>
    <row r="84" spans="1:4" x14ac:dyDescent="0.3">
      <c r="A84" s="30" t="s">
        <v>21</v>
      </c>
      <c r="B84" s="31"/>
      <c r="C84" s="37"/>
      <c r="D84" s="37"/>
    </row>
    <row r="85" spans="1:4" x14ac:dyDescent="0.3">
      <c r="A85" s="4" t="s">
        <v>418</v>
      </c>
      <c r="B85" s="5" t="s">
        <v>269</v>
      </c>
      <c r="C85" s="38">
        <v>4981.9560000000001</v>
      </c>
      <c r="D85" s="38">
        <f t="shared" si="1"/>
        <v>196.14000000000001</v>
      </c>
    </row>
    <row r="86" spans="1:4" x14ac:dyDescent="0.3">
      <c r="A86" s="4" t="s">
        <v>417</v>
      </c>
      <c r="B86" s="5" t="s">
        <v>268</v>
      </c>
      <c r="C86" s="38">
        <v>4504.9859999999999</v>
      </c>
      <c r="D86" s="38">
        <f t="shared" si="1"/>
        <v>177.36165354330709</v>
      </c>
    </row>
    <row r="87" spans="1:4" x14ac:dyDescent="0.3">
      <c r="A87" s="4" t="s">
        <v>420</v>
      </c>
      <c r="B87" s="5" t="s">
        <v>271</v>
      </c>
      <c r="C87" s="38">
        <v>5230.2510000000002</v>
      </c>
      <c r="D87" s="38">
        <f t="shared" si="1"/>
        <v>205.91539370078743</v>
      </c>
    </row>
    <row r="88" spans="1:4" x14ac:dyDescent="0.3">
      <c r="A88" s="4" t="s">
        <v>419</v>
      </c>
      <c r="B88" s="5" t="s">
        <v>270</v>
      </c>
      <c r="C88" s="38">
        <v>5414.5039999999999</v>
      </c>
      <c r="D88" s="38">
        <f t="shared" si="1"/>
        <v>213.16944881889765</v>
      </c>
    </row>
    <row r="89" spans="1:4" x14ac:dyDescent="0.3">
      <c r="A89" s="4" t="s">
        <v>94</v>
      </c>
      <c r="B89" s="5" t="s">
        <v>265</v>
      </c>
      <c r="C89" s="38">
        <v>5740.951</v>
      </c>
      <c r="D89" s="38">
        <f t="shared" si="1"/>
        <v>226.02169291338583</v>
      </c>
    </row>
    <row r="90" spans="1:4" x14ac:dyDescent="0.3">
      <c r="A90" s="4" t="s">
        <v>95</v>
      </c>
      <c r="B90" s="5" t="s">
        <v>264</v>
      </c>
      <c r="C90" s="38">
        <v>6499.9979999999996</v>
      </c>
      <c r="D90" s="38">
        <f t="shared" si="1"/>
        <v>255.90543307086614</v>
      </c>
    </row>
    <row r="91" spans="1:4" x14ac:dyDescent="0.3">
      <c r="A91" s="4" t="s">
        <v>96</v>
      </c>
      <c r="B91" s="5" t="s">
        <v>267</v>
      </c>
      <c r="C91" s="38">
        <v>6406.54</v>
      </c>
      <c r="D91" s="38">
        <f t="shared" si="1"/>
        <v>252.22598425196853</v>
      </c>
    </row>
    <row r="92" spans="1:4" x14ac:dyDescent="0.3">
      <c r="A92" s="4" t="s">
        <v>97</v>
      </c>
      <c r="B92" s="5" t="s">
        <v>266</v>
      </c>
      <c r="C92" s="38">
        <v>7100.8869999999997</v>
      </c>
      <c r="D92" s="38">
        <f t="shared" si="1"/>
        <v>279.56248031496062</v>
      </c>
    </row>
    <row r="93" spans="1:4" x14ac:dyDescent="0.3">
      <c r="A93" s="30" t="s">
        <v>50</v>
      </c>
      <c r="B93" s="31"/>
      <c r="C93" s="37"/>
      <c r="D93" s="37"/>
    </row>
    <row r="94" spans="1:4" x14ac:dyDescent="0.3">
      <c r="A94" s="4" t="s">
        <v>119</v>
      </c>
      <c r="B94" s="35" t="s">
        <v>459</v>
      </c>
      <c r="C94" s="38">
        <v>7754.732</v>
      </c>
      <c r="D94" s="38">
        <f t="shared" si="1"/>
        <v>305.30440944881889</v>
      </c>
    </row>
    <row r="95" spans="1:4" x14ac:dyDescent="0.3">
      <c r="A95" s="4" t="s">
        <v>287</v>
      </c>
      <c r="B95" s="35" t="s">
        <v>460</v>
      </c>
      <c r="C95" s="38">
        <v>8071.0870000000004</v>
      </c>
      <c r="D95" s="38">
        <f t="shared" si="1"/>
        <v>317.75933070866148</v>
      </c>
    </row>
    <row r="96" spans="1:4" x14ac:dyDescent="0.3">
      <c r="A96" s="4" t="s">
        <v>288</v>
      </c>
      <c r="B96" s="35" t="s">
        <v>461</v>
      </c>
      <c r="C96" s="38">
        <v>7965.6729999999998</v>
      </c>
      <c r="D96" s="38">
        <f t="shared" si="1"/>
        <v>313.60917322834649</v>
      </c>
    </row>
    <row r="97" spans="1:4" x14ac:dyDescent="0.3">
      <c r="A97" s="4" t="s">
        <v>117</v>
      </c>
      <c r="B97" s="35" t="s">
        <v>462</v>
      </c>
      <c r="C97" s="38">
        <v>6850.0770000000002</v>
      </c>
      <c r="D97" s="38">
        <f t="shared" si="1"/>
        <v>269.68807086614174</v>
      </c>
    </row>
    <row r="98" spans="1:4" x14ac:dyDescent="0.3">
      <c r="A98" s="4" t="s">
        <v>289</v>
      </c>
      <c r="B98" s="35" t="s">
        <v>596</v>
      </c>
      <c r="C98" s="38">
        <v>6099.433</v>
      </c>
      <c r="D98" s="38">
        <f t="shared" si="1"/>
        <v>240.13515748031497</v>
      </c>
    </row>
    <row r="99" spans="1:4" x14ac:dyDescent="0.3">
      <c r="A99" s="4" t="s">
        <v>120</v>
      </c>
      <c r="B99" s="35" t="s">
        <v>597</v>
      </c>
      <c r="C99" s="38">
        <v>6428.7619999999997</v>
      </c>
      <c r="D99" s="38">
        <f t="shared" si="1"/>
        <v>253.1008661417323</v>
      </c>
    </row>
    <row r="100" spans="1:4" x14ac:dyDescent="0.3">
      <c r="A100" s="4" t="s">
        <v>290</v>
      </c>
      <c r="B100" s="35" t="s">
        <v>598</v>
      </c>
      <c r="C100" s="38">
        <v>8033.4889999999996</v>
      </c>
      <c r="D100" s="38">
        <f t="shared" si="1"/>
        <v>316.279094488189</v>
      </c>
    </row>
    <row r="101" spans="1:4" x14ac:dyDescent="0.3">
      <c r="A101" s="4" t="s">
        <v>291</v>
      </c>
      <c r="B101" s="35" t="s">
        <v>599</v>
      </c>
      <c r="C101" s="38">
        <v>7461.3239999999996</v>
      </c>
      <c r="D101" s="38">
        <f t="shared" si="1"/>
        <v>293.75291338582679</v>
      </c>
    </row>
    <row r="102" spans="1:4" x14ac:dyDescent="0.3">
      <c r="A102" s="4" t="s">
        <v>286</v>
      </c>
      <c r="B102" s="35" t="s">
        <v>463</v>
      </c>
      <c r="C102" s="38">
        <v>4265.1679999999997</v>
      </c>
      <c r="D102" s="38">
        <f t="shared" si="1"/>
        <v>167.92</v>
      </c>
    </row>
    <row r="103" spans="1:4" x14ac:dyDescent="0.3">
      <c r="A103" s="4" t="s">
        <v>285</v>
      </c>
      <c r="B103" s="35" t="s">
        <v>464</v>
      </c>
      <c r="C103" s="38">
        <v>4885.8429999999998</v>
      </c>
      <c r="D103" s="38">
        <f t="shared" si="1"/>
        <v>192.35602362204725</v>
      </c>
    </row>
    <row r="104" spans="1:4" x14ac:dyDescent="0.3">
      <c r="A104" s="4" t="s">
        <v>293</v>
      </c>
      <c r="B104" s="35" t="s">
        <v>600</v>
      </c>
      <c r="C104" s="38">
        <v>5183.665</v>
      </c>
      <c r="D104" s="38">
        <f t="shared" si="1"/>
        <v>204.08129921259842</v>
      </c>
    </row>
    <row r="105" spans="1:4" x14ac:dyDescent="0.3">
      <c r="A105" s="4" t="s">
        <v>292</v>
      </c>
      <c r="B105" s="35" t="s">
        <v>465</v>
      </c>
      <c r="C105" s="38">
        <v>5769.9449999999997</v>
      </c>
      <c r="D105" s="38">
        <f t="shared" si="1"/>
        <v>227.16318897637797</v>
      </c>
    </row>
    <row r="106" spans="1:4" x14ac:dyDescent="0.3">
      <c r="A106" s="30" t="s">
        <v>51</v>
      </c>
      <c r="B106" s="31"/>
      <c r="C106" s="37"/>
      <c r="D106" s="37"/>
    </row>
    <row r="107" spans="1:4" ht="28.3" x14ac:dyDescent="0.3">
      <c r="A107" s="4" t="s">
        <v>72</v>
      </c>
      <c r="B107" s="35" t="s">
        <v>466</v>
      </c>
      <c r="C107" s="38">
        <v>7575.857</v>
      </c>
      <c r="D107" s="38">
        <f t="shared" si="1"/>
        <v>298.26208661417326</v>
      </c>
    </row>
    <row r="108" spans="1:4" ht="28.3" x14ac:dyDescent="0.3">
      <c r="A108" s="4" t="s">
        <v>74</v>
      </c>
      <c r="B108" s="35" t="s">
        <v>467</v>
      </c>
      <c r="C108" s="38">
        <v>8001.2780000000002</v>
      </c>
      <c r="D108" s="38">
        <f t="shared" si="1"/>
        <v>315.01094488188977</v>
      </c>
    </row>
    <row r="109" spans="1:4" ht="28.3" x14ac:dyDescent="0.3">
      <c r="A109" s="4" t="s">
        <v>69</v>
      </c>
      <c r="B109" s="35" t="s">
        <v>468</v>
      </c>
      <c r="C109" s="38">
        <v>7906.527</v>
      </c>
      <c r="D109" s="38">
        <f t="shared" si="1"/>
        <v>311.28059055118115</v>
      </c>
    </row>
    <row r="110" spans="1:4" ht="28.3" x14ac:dyDescent="0.3">
      <c r="A110" s="4" t="s">
        <v>67</v>
      </c>
      <c r="B110" s="35" t="s">
        <v>469</v>
      </c>
      <c r="C110" s="38">
        <v>6938.0330000000004</v>
      </c>
      <c r="D110" s="38">
        <f t="shared" si="1"/>
        <v>273.15090551181106</v>
      </c>
    </row>
    <row r="111" spans="1:4" x14ac:dyDescent="0.3">
      <c r="A111" s="4" t="s">
        <v>412</v>
      </c>
      <c r="B111" s="35" t="s">
        <v>470</v>
      </c>
      <c r="C111" s="38">
        <v>6487.1120000000001</v>
      </c>
      <c r="D111" s="38">
        <f t="shared" si="1"/>
        <v>255.3981102362205</v>
      </c>
    </row>
    <row r="112" spans="1:4" ht="28.3" x14ac:dyDescent="0.3">
      <c r="A112" s="4" t="s">
        <v>411</v>
      </c>
      <c r="B112" s="35" t="s">
        <v>471</v>
      </c>
      <c r="C112" s="38">
        <v>6458.86</v>
      </c>
      <c r="D112" s="38">
        <f t="shared" si="1"/>
        <v>254.28582677165355</v>
      </c>
    </row>
    <row r="113" spans="1:4" x14ac:dyDescent="0.3">
      <c r="A113" s="30" t="s">
        <v>52</v>
      </c>
      <c r="B113" s="31"/>
      <c r="C113" s="37"/>
      <c r="D113" s="37"/>
    </row>
    <row r="114" spans="1:4" x14ac:dyDescent="0.3">
      <c r="A114" s="4" t="s">
        <v>401</v>
      </c>
      <c r="B114" s="35" t="s">
        <v>472</v>
      </c>
      <c r="C114" s="38">
        <v>6120.0190000000002</v>
      </c>
      <c r="D114" s="38">
        <f t="shared" si="1"/>
        <v>240.94562992125987</v>
      </c>
    </row>
    <row r="115" spans="1:4" x14ac:dyDescent="0.3">
      <c r="A115" s="4" t="s">
        <v>413</v>
      </c>
      <c r="B115" s="35" t="s">
        <v>473</v>
      </c>
      <c r="C115" s="38">
        <v>4203.9830000000002</v>
      </c>
      <c r="D115" s="38">
        <f t="shared" si="1"/>
        <v>165.51114173228348</v>
      </c>
    </row>
    <row r="116" spans="1:4" x14ac:dyDescent="0.3">
      <c r="A116" s="4" t="s">
        <v>402</v>
      </c>
      <c r="B116" s="35" t="s">
        <v>474</v>
      </c>
      <c r="C116" s="38">
        <v>7181.0889999999999</v>
      </c>
      <c r="D116" s="38">
        <f t="shared" si="1"/>
        <v>282.72003937007878</v>
      </c>
    </row>
    <row r="117" spans="1:4" x14ac:dyDescent="0.3">
      <c r="A117" s="4" t="s">
        <v>403</v>
      </c>
      <c r="B117" s="35" t="s">
        <v>475</v>
      </c>
      <c r="C117" s="38">
        <v>8387.0439999999999</v>
      </c>
      <c r="D117" s="38">
        <f t="shared" si="1"/>
        <v>330.19858267716535</v>
      </c>
    </row>
    <row r="118" spans="1:4" x14ac:dyDescent="0.3">
      <c r="A118" s="4" t="s">
        <v>414</v>
      </c>
      <c r="B118" s="35" t="s">
        <v>476</v>
      </c>
      <c r="C118" s="38">
        <v>6158.991</v>
      </c>
      <c r="D118" s="38">
        <f t="shared" ref="D118:D166" si="2">C118/25.4</f>
        <v>242.47996062992127</v>
      </c>
    </row>
    <row r="119" spans="1:4" x14ac:dyDescent="0.3">
      <c r="A119" s="30" t="s">
        <v>54</v>
      </c>
      <c r="B119" s="31"/>
      <c r="C119" s="39"/>
      <c r="D119" s="37"/>
    </row>
    <row r="120" spans="1:4" x14ac:dyDescent="0.3">
      <c r="A120" s="4" t="s">
        <v>405</v>
      </c>
      <c r="B120" s="5" t="s">
        <v>477</v>
      </c>
      <c r="C120" s="40">
        <v>4302.7709999999997</v>
      </c>
      <c r="D120" s="38">
        <f t="shared" si="2"/>
        <v>169.40043307086614</v>
      </c>
    </row>
    <row r="121" spans="1:4" x14ac:dyDescent="0.3">
      <c r="A121" s="4" t="s">
        <v>406</v>
      </c>
      <c r="B121" s="35" t="s">
        <v>592</v>
      </c>
      <c r="C121" s="40">
        <v>4134.6899999999996</v>
      </c>
      <c r="D121" s="38">
        <f t="shared" si="2"/>
        <v>162.78307086614171</v>
      </c>
    </row>
    <row r="122" spans="1:4" ht="28.3" x14ac:dyDescent="0.3">
      <c r="A122" s="4" t="s">
        <v>410</v>
      </c>
      <c r="B122" s="35" t="s">
        <v>478</v>
      </c>
      <c r="C122" s="40">
        <v>4733.0540000000001</v>
      </c>
      <c r="D122" s="38">
        <f t="shared" si="2"/>
        <v>186.34070866141732</v>
      </c>
    </row>
    <row r="123" spans="1:4" x14ac:dyDescent="0.3">
      <c r="A123" s="4" t="s">
        <v>404</v>
      </c>
      <c r="B123" s="35" t="s">
        <v>558</v>
      </c>
      <c r="C123" s="40">
        <v>5072.299</v>
      </c>
      <c r="D123" s="38">
        <f t="shared" si="2"/>
        <v>199.69681102362205</v>
      </c>
    </row>
    <row r="124" spans="1:4" ht="28.3" x14ac:dyDescent="0.3">
      <c r="A124" s="4" t="s">
        <v>409</v>
      </c>
      <c r="B124" s="35" t="s">
        <v>479</v>
      </c>
      <c r="C124" s="40">
        <v>5665.8710000000001</v>
      </c>
      <c r="D124" s="38">
        <f t="shared" si="2"/>
        <v>223.06578740157482</v>
      </c>
    </row>
    <row r="125" spans="1:4" x14ac:dyDescent="0.3">
      <c r="A125" s="4" t="s">
        <v>25</v>
      </c>
      <c r="B125" s="5" t="s">
        <v>480</v>
      </c>
      <c r="C125" s="40">
        <v>7497.424</v>
      </c>
      <c r="D125" s="38">
        <f t="shared" si="2"/>
        <v>295.17417322834649</v>
      </c>
    </row>
    <row r="126" spans="1:4" ht="28.3" x14ac:dyDescent="0.3">
      <c r="A126" s="4" t="s">
        <v>408</v>
      </c>
      <c r="B126" s="35" t="s">
        <v>481</v>
      </c>
      <c r="C126" s="40">
        <v>5768.3320000000003</v>
      </c>
      <c r="D126" s="38">
        <f t="shared" si="2"/>
        <v>227.09968503937012</v>
      </c>
    </row>
    <row r="127" spans="1:4" ht="28.3" x14ac:dyDescent="0.3">
      <c r="A127" s="4" t="s">
        <v>26</v>
      </c>
      <c r="B127" s="35" t="s">
        <v>482</v>
      </c>
      <c r="C127" s="40">
        <v>5808.5770000000002</v>
      </c>
      <c r="D127" s="38">
        <f t="shared" si="2"/>
        <v>228.68413385826773</v>
      </c>
    </row>
    <row r="128" spans="1:4" x14ac:dyDescent="0.3">
      <c r="A128" s="4" t="s">
        <v>27</v>
      </c>
      <c r="B128" s="35" t="s">
        <v>483</v>
      </c>
      <c r="C128" s="40">
        <v>7101.8940000000002</v>
      </c>
      <c r="D128" s="38">
        <f t="shared" si="2"/>
        <v>279.60212598425198</v>
      </c>
    </row>
    <row r="129" spans="1:4" x14ac:dyDescent="0.3">
      <c r="A129" s="6" t="s">
        <v>407</v>
      </c>
      <c r="B129" s="33" t="s">
        <v>484</v>
      </c>
      <c r="C129" s="38">
        <v>5626.58</v>
      </c>
      <c r="D129" s="38">
        <f t="shared" si="2"/>
        <v>221.51889763779528</v>
      </c>
    </row>
    <row r="130" spans="1:4" x14ac:dyDescent="0.3">
      <c r="A130" s="4" t="s">
        <v>24</v>
      </c>
      <c r="B130" s="35" t="s">
        <v>593</v>
      </c>
      <c r="C130" s="40">
        <v>6410.4530000000004</v>
      </c>
      <c r="D130" s="38">
        <f t="shared" si="2"/>
        <v>252.38003937007878</v>
      </c>
    </row>
    <row r="131" spans="1:4" x14ac:dyDescent="0.3">
      <c r="A131" s="4" t="s">
        <v>416</v>
      </c>
      <c r="B131" s="35" t="s">
        <v>559</v>
      </c>
      <c r="C131" s="40">
        <v>7342.4560000000001</v>
      </c>
      <c r="D131" s="38">
        <f t="shared" si="2"/>
        <v>289.07307086614173</v>
      </c>
    </row>
    <row r="132" spans="1:4" x14ac:dyDescent="0.3">
      <c r="A132" s="30" t="s">
        <v>57</v>
      </c>
      <c r="B132" s="31"/>
      <c r="C132" s="39"/>
      <c r="D132" s="37"/>
    </row>
    <row r="133" spans="1:4" ht="28.3" x14ac:dyDescent="0.3">
      <c r="A133" s="4" t="s">
        <v>302</v>
      </c>
      <c r="B133" s="35" t="s">
        <v>560</v>
      </c>
      <c r="C133" s="40">
        <v>9270.3449999999993</v>
      </c>
      <c r="D133" s="38">
        <f t="shared" si="2"/>
        <v>364.9742125984252</v>
      </c>
    </row>
    <row r="134" spans="1:4" x14ac:dyDescent="0.3">
      <c r="A134" s="4" t="s">
        <v>71</v>
      </c>
      <c r="B134" s="35" t="s">
        <v>594</v>
      </c>
      <c r="C134" s="40">
        <v>8640.0059999999994</v>
      </c>
      <c r="D134" s="38">
        <f t="shared" si="2"/>
        <v>340.15771653543305</v>
      </c>
    </row>
    <row r="135" spans="1:4" x14ac:dyDescent="0.3">
      <c r="A135" s="4" t="s">
        <v>297</v>
      </c>
      <c r="B135" s="35" t="s">
        <v>561</v>
      </c>
      <c r="C135" s="40">
        <v>6924.0569999999998</v>
      </c>
      <c r="D135" s="38">
        <f t="shared" si="2"/>
        <v>272.60066929133859</v>
      </c>
    </row>
    <row r="136" spans="1:4" x14ac:dyDescent="0.3">
      <c r="A136" s="6" t="s">
        <v>73</v>
      </c>
      <c r="B136" s="33" t="s">
        <v>595</v>
      </c>
      <c r="C136" s="38">
        <v>9042.3019999999997</v>
      </c>
      <c r="D136" s="38">
        <f t="shared" si="2"/>
        <v>355.99614173228349</v>
      </c>
    </row>
    <row r="137" spans="1:4" x14ac:dyDescent="0.3">
      <c r="A137" s="4" t="s">
        <v>68</v>
      </c>
      <c r="B137" s="35" t="s">
        <v>485</v>
      </c>
      <c r="C137" s="40">
        <v>10128.17</v>
      </c>
      <c r="D137" s="38">
        <f t="shared" si="2"/>
        <v>398.74685039370081</v>
      </c>
    </row>
    <row r="138" spans="1:4" x14ac:dyDescent="0.3">
      <c r="A138" s="4" t="s">
        <v>303</v>
      </c>
      <c r="B138" s="35" t="s">
        <v>486</v>
      </c>
      <c r="C138" s="40">
        <v>6547.4350000000004</v>
      </c>
      <c r="D138" s="38">
        <f t="shared" si="2"/>
        <v>257.77303149606303</v>
      </c>
    </row>
    <row r="139" spans="1:4" ht="28.3" x14ac:dyDescent="0.3">
      <c r="A139" s="4" t="s">
        <v>295</v>
      </c>
      <c r="B139" s="35" t="s">
        <v>487</v>
      </c>
      <c r="C139" s="40">
        <v>8977.9040000000005</v>
      </c>
      <c r="D139" s="38">
        <f t="shared" si="2"/>
        <v>353.46078740157486</v>
      </c>
    </row>
    <row r="140" spans="1:4" x14ac:dyDescent="0.3">
      <c r="A140" s="4" t="s">
        <v>296</v>
      </c>
      <c r="B140" s="35" t="s">
        <v>488</v>
      </c>
      <c r="C140" s="40">
        <v>5702.9740000000002</v>
      </c>
      <c r="D140" s="38">
        <f t="shared" si="2"/>
        <v>224.52653543307088</v>
      </c>
    </row>
    <row r="141" spans="1:4" x14ac:dyDescent="0.3">
      <c r="A141" s="4" t="s">
        <v>305</v>
      </c>
      <c r="B141" s="35" t="s">
        <v>562</v>
      </c>
      <c r="C141" s="40">
        <v>5949.607</v>
      </c>
      <c r="D141" s="38">
        <f t="shared" si="2"/>
        <v>234.23649606299213</v>
      </c>
    </row>
    <row r="142" spans="1:4" x14ac:dyDescent="0.3">
      <c r="A142" s="4" t="s">
        <v>70</v>
      </c>
      <c r="B142" s="35" t="s">
        <v>563</v>
      </c>
      <c r="C142" s="40">
        <v>8098.223</v>
      </c>
      <c r="D142" s="38">
        <f t="shared" si="2"/>
        <v>318.82767716535437</v>
      </c>
    </row>
    <row r="143" spans="1:4" x14ac:dyDescent="0.3">
      <c r="A143" s="4" t="s">
        <v>75</v>
      </c>
      <c r="B143" s="35" t="s">
        <v>580</v>
      </c>
      <c r="C143" s="40">
        <v>7654.28</v>
      </c>
      <c r="D143" s="38">
        <f t="shared" si="2"/>
        <v>301.34960629921261</v>
      </c>
    </row>
    <row r="144" spans="1:4" x14ac:dyDescent="0.3">
      <c r="A144" s="4" t="s">
        <v>300</v>
      </c>
      <c r="B144" s="35" t="s">
        <v>581</v>
      </c>
      <c r="C144" s="40">
        <v>5172.7370000000001</v>
      </c>
      <c r="D144" s="38">
        <f t="shared" si="2"/>
        <v>203.65106299212599</v>
      </c>
    </row>
    <row r="145" spans="1:4" x14ac:dyDescent="0.3">
      <c r="A145" s="4" t="s">
        <v>301</v>
      </c>
      <c r="B145" s="35" t="s">
        <v>601</v>
      </c>
      <c r="C145" s="40">
        <v>8284.1319999999996</v>
      </c>
      <c r="D145" s="38">
        <f t="shared" si="2"/>
        <v>326.14692913385829</v>
      </c>
    </row>
    <row r="146" spans="1:4" x14ac:dyDescent="0.3">
      <c r="A146" s="4" t="s">
        <v>298</v>
      </c>
      <c r="B146" s="35" t="s">
        <v>602</v>
      </c>
      <c r="C146" s="40">
        <v>4825.643</v>
      </c>
      <c r="D146" s="38">
        <f t="shared" si="2"/>
        <v>189.98594488188976</v>
      </c>
    </row>
    <row r="147" spans="1:4" x14ac:dyDescent="0.3">
      <c r="A147" s="4" t="s">
        <v>294</v>
      </c>
      <c r="B147" s="35" t="s">
        <v>603</v>
      </c>
      <c r="C147" s="40">
        <v>6835.11</v>
      </c>
      <c r="D147" s="38">
        <f t="shared" si="2"/>
        <v>269.09881889763778</v>
      </c>
    </row>
    <row r="148" spans="1:4" x14ac:dyDescent="0.3">
      <c r="A148" s="4" t="s">
        <v>58</v>
      </c>
      <c r="B148" s="35" t="s">
        <v>604</v>
      </c>
      <c r="C148" s="40">
        <v>7860.3710000000001</v>
      </c>
      <c r="D148" s="38">
        <f t="shared" si="2"/>
        <v>309.46342519685044</v>
      </c>
    </row>
    <row r="149" spans="1:4" x14ac:dyDescent="0.3">
      <c r="A149" s="4" t="s">
        <v>489</v>
      </c>
      <c r="B149" s="35" t="s">
        <v>605</v>
      </c>
      <c r="C149" s="40">
        <v>4731.0630000000001</v>
      </c>
      <c r="D149" s="38">
        <f t="shared" si="2"/>
        <v>186.26232283464569</v>
      </c>
    </row>
    <row r="150" spans="1:4" ht="28.3" x14ac:dyDescent="0.3">
      <c r="A150" s="4" t="s">
        <v>490</v>
      </c>
      <c r="B150" s="35" t="s">
        <v>582</v>
      </c>
      <c r="C150" s="40">
        <v>5391.2449999999999</v>
      </c>
      <c r="D150" s="38">
        <f t="shared" si="2"/>
        <v>212.25374015748031</v>
      </c>
    </row>
    <row r="151" spans="1:4" x14ac:dyDescent="0.3">
      <c r="A151" s="30" t="s">
        <v>59</v>
      </c>
      <c r="B151" s="31"/>
      <c r="C151" s="39"/>
      <c r="D151" s="37"/>
    </row>
    <row r="152" spans="1:4" x14ac:dyDescent="0.3">
      <c r="A152" s="6" t="s">
        <v>432</v>
      </c>
      <c r="B152" s="33" t="s">
        <v>491</v>
      </c>
      <c r="C152" s="38">
        <v>7504.8829999999998</v>
      </c>
      <c r="D152" s="38">
        <f t="shared" si="2"/>
        <v>295.46783464566931</v>
      </c>
    </row>
    <row r="153" spans="1:4" x14ac:dyDescent="0.3">
      <c r="A153" s="4" t="s">
        <v>40</v>
      </c>
      <c r="B153" s="35" t="s">
        <v>492</v>
      </c>
      <c r="C153" s="40">
        <v>6708.5649999999996</v>
      </c>
      <c r="D153" s="38">
        <f t="shared" si="2"/>
        <v>264.11673228346456</v>
      </c>
    </row>
    <row r="154" spans="1:4" x14ac:dyDescent="0.3">
      <c r="A154" s="4" t="s">
        <v>44</v>
      </c>
      <c r="B154" s="35" t="s">
        <v>493</v>
      </c>
      <c r="C154" s="40">
        <v>5995.652</v>
      </c>
      <c r="D154" s="38">
        <f t="shared" si="2"/>
        <v>236.04929133858269</v>
      </c>
    </row>
    <row r="155" spans="1:4" x14ac:dyDescent="0.3">
      <c r="A155" s="4" t="s">
        <v>431</v>
      </c>
      <c r="B155" s="35" t="s">
        <v>494</v>
      </c>
      <c r="C155" s="40">
        <v>5891.8119999999999</v>
      </c>
      <c r="D155" s="38">
        <f t="shared" si="2"/>
        <v>231.96110236220474</v>
      </c>
    </row>
    <row r="156" spans="1:4" ht="28.3" x14ac:dyDescent="0.3">
      <c r="A156" s="4" t="s">
        <v>430</v>
      </c>
      <c r="B156" s="35" t="s">
        <v>564</v>
      </c>
      <c r="C156" s="40">
        <v>7126.9229999999998</v>
      </c>
      <c r="D156" s="38">
        <f t="shared" si="2"/>
        <v>280.58751968503935</v>
      </c>
    </row>
    <row r="157" spans="1:4" ht="28.3" x14ac:dyDescent="0.3">
      <c r="A157" s="4" t="s">
        <v>429</v>
      </c>
      <c r="B157" s="35" t="s">
        <v>565</v>
      </c>
      <c r="C157" s="40">
        <v>4690.95</v>
      </c>
      <c r="D157" s="38">
        <f t="shared" si="2"/>
        <v>184.68307086614175</v>
      </c>
    </row>
    <row r="158" spans="1:4" ht="28.3" x14ac:dyDescent="0.3">
      <c r="A158" s="4" t="s">
        <v>39</v>
      </c>
      <c r="B158" s="35" t="s">
        <v>570</v>
      </c>
      <c r="C158" s="40">
        <v>7675.6729999999998</v>
      </c>
      <c r="D158" s="38">
        <f t="shared" si="2"/>
        <v>302.1918503937008</v>
      </c>
    </row>
    <row r="159" spans="1:4" ht="28.3" x14ac:dyDescent="0.3">
      <c r="A159" s="4" t="s">
        <v>435</v>
      </c>
      <c r="B159" s="35" t="s">
        <v>571</v>
      </c>
      <c r="C159" s="40">
        <v>4723.732</v>
      </c>
      <c r="D159" s="38">
        <f t="shared" si="2"/>
        <v>185.97370078740158</v>
      </c>
    </row>
    <row r="160" spans="1:4" ht="28.3" x14ac:dyDescent="0.3">
      <c r="A160" s="4" t="s">
        <v>45</v>
      </c>
      <c r="B160" s="35" t="s">
        <v>495</v>
      </c>
      <c r="C160" s="40">
        <v>7992.7150000000001</v>
      </c>
      <c r="D160" s="38">
        <f t="shared" si="2"/>
        <v>314.67381889763783</v>
      </c>
    </row>
    <row r="161" spans="1:4" x14ac:dyDescent="0.3">
      <c r="A161" s="4" t="s">
        <v>41</v>
      </c>
      <c r="B161" s="35" t="s">
        <v>496</v>
      </c>
      <c r="C161" s="40">
        <v>6297.7290000000003</v>
      </c>
      <c r="D161" s="38">
        <f t="shared" si="2"/>
        <v>247.94208661417326</v>
      </c>
    </row>
    <row r="162" spans="1:4" x14ac:dyDescent="0.3">
      <c r="A162" s="4" t="s">
        <v>42</v>
      </c>
      <c r="B162" s="35" t="s">
        <v>497</v>
      </c>
      <c r="C162" s="40">
        <v>6735.5780000000004</v>
      </c>
      <c r="D162" s="38">
        <f t="shared" si="2"/>
        <v>265.18023622047247</v>
      </c>
    </row>
    <row r="163" spans="1:4" ht="28.3" x14ac:dyDescent="0.3">
      <c r="A163" s="4" t="s">
        <v>434</v>
      </c>
      <c r="B163" s="35" t="s">
        <v>498</v>
      </c>
      <c r="C163" s="40">
        <v>5097.8429999999998</v>
      </c>
      <c r="D163" s="38">
        <f t="shared" si="2"/>
        <v>200.70248031496064</v>
      </c>
    </row>
    <row r="164" spans="1:4" ht="28.3" x14ac:dyDescent="0.3">
      <c r="A164" s="4" t="s">
        <v>433</v>
      </c>
      <c r="B164" s="35" t="s">
        <v>499</v>
      </c>
      <c r="C164" s="40">
        <v>5154.509</v>
      </c>
      <c r="D164" s="38">
        <f t="shared" si="2"/>
        <v>202.93342519685041</v>
      </c>
    </row>
    <row r="165" spans="1:4" ht="28.3" x14ac:dyDescent="0.3">
      <c r="A165" s="4" t="s">
        <v>36</v>
      </c>
      <c r="B165" s="35" t="s">
        <v>500</v>
      </c>
      <c r="C165" s="40">
        <v>6622.8069999999998</v>
      </c>
      <c r="D165" s="38">
        <f t="shared" si="2"/>
        <v>260.74043307086617</v>
      </c>
    </row>
    <row r="166" spans="1:4" x14ac:dyDescent="0.3">
      <c r="A166" s="4" t="s">
        <v>428</v>
      </c>
      <c r="B166" s="35" t="s">
        <v>501</v>
      </c>
      <c r="C166" s="40">
        <v>5111.5209999999997</v>
      </c>
      <c r="D166" s="38">
        <f t="shared" si="2"/>
        <v>201.24098425196851</v>
      </c>
    </row>
    <row r="167" spans="1:4" x14ac:dyDescent="0.3">
      <c r="A167" s="4" t="s">
        <v>427</v>
      </c>
      <c r="B167" s="35" t="s">
        <v>502</v>
      </c>
      <c r="C167" s="40">
        <v>4368.7849999999999</v>
      </c>
      <c r="D167" s="38">
        <f t="shared" ref="D167:D218" si="3">C167/25.4</f>
        <v>171.99940944881891</v>
      </c>
    </row>
    <row r="168" spans="1:4" x14ac:dyDescent="0.3">
      <c r="A168" s="4" t="s">
        <v>304</v>
      </c>
      <c r="B168" s="35" t="s">
        <v>503</v>
      </c>
      <c r="C168" s="40">
        <v>5322.0460000000003</v>
      </c>
      <c r="D168" s="38">
        <f t="shared" si="3"/>
        <v>209.52937007874019</v>
      </c>
    </row>
    <row r="169" spans="1:4" x14ac:dyDescent="0.3">
      <c r="A169" s="4" t="s">
        <v>37</v>
      </c>
      <c r="B169" s="35" t="s">
        <v>504</v>
      </c>
      <c r="C169" s="40">
        <v>5773.8429999999998</v>
      </c>
      <c r="D169" s="38">
        <f t="shared" si="3"/>
        <v>227.3166535433071</v>
      </c>
    </row>
    <row r="170" spans="1:4" x14ac:dyDescent="0.3">
      <c r="A170" s="4" t="s">
        <v>35</v>
      </c>
      <c r="B170" s="35" t="s">
        <v>505</v>
      </c>
      <c r="C170" s="40">
        <v>5975.6819999999998</v>
      </c>
      <c r="D170" s="38">
        <f t="shared" si="3"/>
        <v>235.26307086614173</v>
      </c>
    </row>
    <row r="171" spans="1:4" x14ac:dyDescent="0.3">
      <c r="A171" s="6" t="s">
        <v>299</v>
      </c>
      <c r="B171" s="33" t="s">
        <v>506</v>
      </c>
      <c r="C171" s="38">
        <v>5774.643</v>
      </c>
      <c r="D171" s="38">
        <f t="shared" si="3"/>
        <v>227.34814960629922</v>
      </c>
    </row>
    <row r="172" spans="1:4" x14ac:dyDescent="0.3">
      <c r="A172" s="4" t="s">
        <v>38</v>
      </c>
      <c r="B172" s="35" t="s">
        <v>507</v>
      </c>
      <c r="C172" s="40">
        <v>5729.7830000000004</v>
      </c>
      <c r="D172" s="38">
        <f t="shared" si="3"/>
        <v>225.58200787401577</v>
      </c>
    </row>
    <row r="173" spans="1:4" x14ac:dyDescent="0.3">
      <c r="A173" s="4" t="s">
        <v>43</v>
      </c>
      <c r="B173" s="35" t="s">
        <v>508</v>
      </c>
      <c r="C173" s="40">
        <v>5566.8519999999999</v>
      </c>
      <c r="D173" s="38">
        <f t="shared" si="3"/>
        <v>219.16740157480316</v>
      </c>
    </row>
    <row r="174" spans="1:4" x14ac:dyDescent="0.3">
      <c r="A174" s="4" t="s">
        <v>312</v>
      </c>
      <c r="B174" s="35" t="s">
        <v>509</v>
      </c>
      <c r="C174" s="40">
        <v>5765.3850000000002</v>
      </c>
      <c r="D174" s="38">
        <f t="shared" si="3"/>
        <v>226.98366141732285</v>
      </c>
    </row>
    <row r="175" spans="1:4" x14ac:dyDescent="0.3">
      <c r="A175" s="4" t="s">
        <v>311</v>
      </c>
      <c r="B175" s="35" t="s">
        <v>510</v>
      </c>
      <c r="C175" s="40">
        <v>4697.4549999999999</v>
      </c>
      <c r="D175" s="38">
        <f t="shared" si="3"/>
        <v>184.93917322834648</v>
      </c>
    </row>
    <row r="176" spans="1:4" ht="28.3" x14ac:dyDescent="0.3">
      <c r="A176" s="4" t="s">
        <v>284</v>
      </c>
      <c r="B176" s="35" t="s">
        <v>511</v>
      </c>
      <c r="C176" s="40">
        <v>4919.9780000000001</v>
      </c>
      <c r="D176" s="38">
        <f t="shared" si="3"/>
        <v>193.69992125984254</v>
      </c>
    </row>
    <row r="177" spans="1:4" ht="28.3" x14ac:dyDescent="0.3">
      <c r="A177" s="4" t="s">
        <v>512</v>
      </c>
      <c r="B177" s="35" t="s">
        <v>513</v>
      </c>
      <c r="C177" s="40">
        <v>2764.819</v>
      </c>
      <c r="D177" s="38">
        <f t="shared" si="3"/>
        <v>108.85114173228347</v>
      </c>
    </row>
    <row r="178" spans="1:4" x14ac:dyDescent="0.3">
      <c r="A178" s="4" t="s">
        <v>436</v>
      </c>
      <c r="B178" s="35" t="s">
        <v>514</v>
      </c>
      <c r="C178" s="40">
        <v>5771.0659999999998</v>
      </c>
      <c r="D178" s="38">
        <f t="shared" si="3"/>
        <v>227.20732283464568</v>
      </c>
    </row>
    <row r="179" spans="1:4" ht="28.3" x14ac:dyDescent="0.3">
      <c r="A179" s="4" t="s">
        <v>437</v>
      </c>
      <c r="B179" s="35" t="s">
        <v>515</v>
      </c>
      <c r="C179" s="40">
        <v>7602.8450000000003</v>
      </c>
      <c r="D179" s="38">
        <f t="shared" si="3"/>
        <v>299.32460629921263</v>
      </c>
    </row>
    <row r="180" spans="1:4" ht="28.3" x14ac:dyDescent="0.3">
      <c r="A180" s="4" t="s">
        <v>426</v>
      </c>
      <c r="B180" s="35" t="s">
        <v>516</v>
      </c>
      <c r="C180" s="40">
        <v>7676.6880000000001</v>
      </c>
      <c r="D180" s="38">
        <f t="shared" si="3"/>
        <v>302.23181102362207</v>
      </c>
    </row>
    <row r="181" spans="1:4" ht="28.3" x14ac:dyDescent="0.3">
      <c r="A181" s="4" t="s">
        <v>425</v>
      </c>
      <c r="B181" s="35" t="s">
        <v>517</v>
      </c>
      <c r="C181" s="40">
        <v>5955.0360000000001</v>
      </c>
      <c r="D181" s="38">
        <f t="shared" si="3"/>
        <v>234.45023622047245</v>
      </c>
    </row>
    <row r="182" spans="1:4" x14ac:dyDescent="0.3">
      <c r="A182" s="30" t="s">
        <v>66</v>
      </c>
      <c r="B182" s="31"/>
      <c r="C182" s="39"/>
      <c r="D182" s="37"/>
    </row>
    <row r="183" spans="1:4" ht="28.3" x14ac:dyDescent="0.3">
      <c r="A183" s="4" t="s">
        <v>447</v>
      </c>
      <c r="B183" s="35" t="s">
        <v>518</v>
      </c>
      <c r="C183" s="40">
        <v>4452.5640000000003</v>
      </c>
      <c r="D183" s="38">
        <f t="shared" si="3"/>
        <v>175.29779527559057</v>
      </c>
    </row>
    <row r="184" spans="1:4" ht="28.3" x14ac:dyDescent="0.3">
      <c r="A184" s="4" t="s">
        <v>22</v>
      </c>
      <c r="B184" s="35" t="s">
        <v>519</v>
      </c>
      <c r="C184" s="40">
        <v>6235.0370000000003</v>
      </c>
      <c r="D184" s="38">
        <f t="shared" si="3"/>
        <v>245.47389763779529</v>
      </c>
    </row>
    <row r="185" spans="1:4" ht="28.3" x14ac:dyDescent="0.3">
      <c r="A185" s="4" t="s">
        <v>446</v>
      </c>
      <c r="B185" s="35" t="s">
        <v>520</v>
      </c>
      <c r="C185" s="40">
        <v>5506.8239999999996</v>
      </c>
      <c r="D185" s="38">
        <f t="shared" si="3"/>
        <v>216.80409448818898</v>
      </c>
    </row>
    <row r="186" spans="1:4" x14ac:dyDescent="0.3">
      <c r="A186" s="6" t="s">
        <v>47</v>
      </c>
      <c r="B186" s="33" t="s">
        <v>521</v>
      </c>
      <c r="C186" s="38">
        <v>5203.1689999999999</v>
      </c>
      <c r="D186" s="38">
        <f t="shared" si="3"/>
        <v>204.84917322834647</v>
      </c>
    </row>
    <row r="187" spans="1:4" ht="28.3" x14ac:dyDescent="0.3">
      <c r="A187" s="4" t="s">
        <v>48</v>
      </c>
      <c r="B187" s="35" t="s">
        <v>522</v>
      </c>
      <c r="C187" s="40">
        <v>5758.2349999999997</v>
      </c>
      <c r="D187" s="38">
        <f t="shared" si="3"/>
        <v>226.7021653543307</v>
      </c>
    </row>
    <row r="188" spans="1:4" ht="28.3" x14ac:dyDescent="0.3">
      <c r="A188" s="4" t="s">
        <v>444</v>
      </c>
      <c r="B188" s="35" t="s">
        <v>523</v>
      </c>
      <c r="C188" s="40">
        <v>5983.9740000000002</v>
      </c>
      <c r="D188" s="38">
        <f t="shared" si="3"/>
        <v>235.58952755905514</v>
      </c>
    </row>
    <row r="189" spans="1:4" ht="28.3" x14ac:dyDescent="0.3">
      <c r="A189" s="4" t="s">
        <v>46</v>
      </c>
      <c r="B189" s="35" t="s">
        <v>524</v>
      </c>
      <c r="C189" s="40">
        <v>6482.6189999999997</v>
      </c>
      <c r="D189" s="38">
        <f t="shared" si="3"/>
        <v>255.22122047244093</v>
      </c>
    </row>
    <row r="190" spans="1:4" ht="28.3" x14ac:dyDescent="0.3">
      <c r="A190" s="4" t="s">
        <v>443</v>
      </c>
      <c r="B190" s="35" t="s">
        <v>525</v>
      </c>
      <c r="C190" s="40">
        <v>6312.4340000000002</v>
      </c>
      <c r="D190" s="38">
        <f t="shared" si="3"/>
        <v>248.52102362204727</v>
      </c>
    </row>
    <row r="191" spans="1:4" ht="28.3" x14ac:dyDescent="0.3">
      <c r="A191" s="4" t="s">
        <v>34</v>
      </c>
      <c r="B191" s="35" t="s">
        <v>526</v>
      </c>
      <c r="C191" s="40">
        <v>5618.0060000000003</v>
      </c>
      <c r="D191" s="38">
        <f t="shared" si="3"/>
        <v>221.1813385826772</v>
      </c>
    </row>
    <row r="192" spans="1:4" ht="28.3" x14ac:dyDescent="0.3">
      <c r="A192" s="4" t="s">
        <v>442</v>
      </c>
      <c r="B192" s="35" t="s">
        <v>527</v>
      </c>
      <c r="C192" s="40">
        <v>5355.53</v>
      </c>
      <c r="D192" s="38">
        <f t="shared" si="3"/>
        <v>210.8476377952756</v>
      </c>
    </row>
    <row r="193" spans="1:4" ht="28.3" x14ac:dyDescent="0.3">
      <c r="A193" s="4" t="s">
        <v>441</v>
      </c>
      <c r="B193" s="35" t="s">
        <v>528</v>
      </c>
      <c r="C193" s="40">
        <v>6465.4530000000004</v>
      </c>
      <c r="D193" s="38">
        <f t="shared" si="3"/>
        <v>254.54539370078743</v>
      </c>
    </row>
    <row r="194" spans="1:4" ht="28.3" x14ac:dyDescent="0.3">
      <c r="A194" s="4" t="s">
        <v>440</v>
      </c>
      <c r="B194" s="35" t="s">
        <v>529</v>
      </c>
      <c r="C194" s="40">
        <v>3865.7220000000002</v>
      </c>
      <c r="D194" s="38">
        <f t="shared" si="3"/>
        <v>152.19377952755906</v>
      </c>
    </row>
    <row r="195" spans="1:4" ht="28.3" x14ac:dyDescent="0.3">
      <c r="A195" s="4" t="s">
        <v>530</v>
      </c>
      <c r="B195" s="35" t="s">
        <v>531</v>
      </c>
      <c r="C195" s="40">
        <v>2612.6320000000001</v>
      </c>
      <c r="D195" s="38">
        <f t="shared" si="3"/>
        <v>102.85952755905512</v>
      </c>
    </row>
    <row r="196" spans="1:4" ht="28.3" x14ac:dyDescent="0.3">
      <c r="A196" s="4" t="s">
        <v>439</v>
      </c>
      <c r="B196" s="35" t="s">
        <v>532</v>
      </c>
      <c r="C196" s="40">
        <v>4393.2030000000004</v>
      </c>
      <c r="D196" s="38">
        <f t="shared" si="3"/>
        <v>172.96074803149608</v>
      </c>
    </row>
    <row r="197" spans="1:4" ht="28.3" x14ac:dyDescent="0.3">
      <c r="A197" s="4" t="s">
        <v>23</v>
      </c>
      <c r="B197" s="35" t="s">
        <v>533</v>
      </c>
      <c r="C197" s="40">
        <v>5772.0209999999997</v>
      </c>
      <c r="D197" s="38">
        <f t="shared" si="3"/>
        <v>227.24492125984253</v>
      </c>
    </row>
    <row r="198" spans="1:4" ht="28.3" x14ac:dyDescent="0.3">
      <c r="A198" s="4" t="s">
        <v>453</v>
      </c>
      <c r="B198" s="35" t="s">
        <v>534</v>
      </c>
      <c r="C198" s="40">
        <v>6071.8360000000002</v>
      </c>
      <c r="D198" s="38">
        <f t="shared" si="3"/>
        <v>239.04866141732285</v>
      </c>
    </row>
    <row r="199" spans="1:4" ht="28.3" x14ac:dyDescent="0.3">
      <c r="A199" s="4" t="s">
        <v>452</v>
      </c>
      <c r="B199" s="35" t="s">
        <v>535</v>
      </c>
      <c r="C199" s="40">
        <v>3613.3270000000002</v>
      </c>
      <c r="D199" s="38">
        <f t="shared" si="3"/>
        <v>142.25696850393703</v>
      </c>
    </row>
    <row r="200" spans="1:4" ht="28.3" x14ac:dyDescent="0.3">
      <c r="A200" s="4" t="s">
        <v>451</v>
      </c>
      <c r="B200" s="35" t="s">
        <v>536</v>
      </c>
      <c r="C200" s="40">
        <v>4492.1459999999997</v>
      </c>
      <c r="D200" s="38">
        <f t="shared" si="3"/>
        <v>176.85614173228348</v>
      </c>
    </row>
    <row r="201" spans="1:4" x14ac:dyDescent="0.3">
      <c r="A201" s="4" t="s">
        <v>450</v>
      </c>
      <c r="B201" s="35" t="s">
        <v>537</v>
      </c>
      <c r="C201" s="40">
        <v>4391.973</v>
      </c>
      <c r="D201" s="38">
        <f t="shared" si="3"/>
        <v>172.91232283464566</v>
      </c>
    </row>
    <row r="202" spans="1:4" x14ac:dyDescent="0.3">
      <c r="A202" s="4" t="s">
        <v>449</v>
      </c>
      <c r="B202" s="35" t="s">
        <v>538</v>
      </c>
      <c r="C202" s="40">
        <v>4373.0039999999999</v>
      </c>
      <c r="D202" s="38">
        <f t="shared" si="3"/>
        <v>172.16551181102363</v>
      </c>
    </row>
    <row r="203" spans="1:4" ht="28.3" x14ac:dyDescent="0.3">
      <c r="A203" s="4" t="s">
        <v>448</v>
      </c>
      <c r="B203" s="35" t="s">
        <v>539</v>
      </c>
      <c r="C203" s="40">
        <v>5607.1289999999999</v>
      </c>
      <c r="D203" s="38">
        <f t="shared" si="3"/>
        <v>220.75311023622049</v>
      </c>
    </row>
    <row r="204" spans="1:4" ht="28.3" x14ac:dyDescent="0.3">
      <c r="A204" s="4" t="s">
        <v>445</v>
      </c>
      <c r="B204" s="35" t="s">
        <v>540</v>
      </c>
      <c r="C204" s="40">
        <v>4948.8310000000001</v>
      </c>
      <c r="D204" s="38">
        <f t="shared" si="3"/>
        <v>194.83586614173231</v>
      </c>
    </row>
    <row r="205" spans="1:4" ht="28.3" x14ac:dyDescent="0.3">
      <c r="A205" s="4" t="s">
        <v>438</v>
      </c>
      <c r="B205" s="35" t="s">
        <v>541</v>
      </c>
      <c r="C205" s="40">
        <v>4962.0749999999998</v>
      </c>
      <c r="D205" s="38">
        <f t="shared" si="3"/>
        <v>195.35728346456693</v>
      </c>
    </row>
    <row r="206" spans="1:4" ht="28.3" x14ac:dyDescent="0.3">
      <c r="A206" s="4" t="s">
        <v>49</v>
      </c>
      <c r="B206" s="35" t="s">
        <v>542</v>
      </c>
      <c r="C206" s="40">
        <v>5844.2969999999996</v>
      </c>
      <c r="D206" s="38">
        <f t="shared" si="3"/>
        <v>230.09043307086614</v>
      </c>
    </row>
    <row r="207" spans="1:4" ht="28.3" x14ac:dyDescent="0.3">
      <c r="A207" s="4" t="s">
        <v>543</v>
      </c>
      <c r="B207" s="35" t="s">
        <v>544</v>
      </c>
      <c r="C207" s="40">
        <v>4398.375</v>
      </c>
      <c r="D207" s="38">
        <f t="shared" si="3"/>
        <v>173.16437007874018</v>
      </c>
    </row>
    <row r="208" spans="1:4" x14ac:dyDescent="0.3">
      <c r="A208" s="6" t="s">
        <v>454</v>
      </c>
      <c r="B208" s="33" t="s">
        <v>545</v>
      </c>
      <c r="C208" s="38">
        <v>4263.0389999999998</v>
      </c>
      <c r="D208" s="38">
        <f t="shared" si="3"/>
        <v>167.83618110236222</v>
      </c>
    </row>
    <row r="209" spans="1:4" ht="28.3" x14ac:dyDescent="0.3">
      <c r="A209" s="4" t="s">
        <v>455</v>
      </c>
      <c r="B209" s="35" t="s">
        <v>546</v>
      </c>
      <c r="C209" s="40">
        <v>4393.3860000000004</v>
      </c>
      <c r="D209" s="38">
        <f t="shared" si="3"/>
        <v>172.96795275590554</v>
      </c>
    </row>
    <row r="210" spans="1:4" ht="28.3" x14ac:dyDescent="0.3">
      <c r="A210" s="4" t="s">
        <v>547</v>
      </c>
      <c r="B210" s="35" t="s">
        <v>548</v>
      </c>
      <c r="C210" s="40">
        <v>4884.482</v>
      </c>
      <c r="D210" s="38">
        <f t="shared" si="3"/>
        <v>192.30244094488191</v>
      </c>
    </row>
    <row r="211" spans="1:4" ht="28.3" x14ac:dyDescent="0.3">
      <c r="A211" s="4" t="s">
        <v>415</v>
      </c>
      <c r="B211" s="35" t="s">
        <v>549</v>
      </c>
      <c r="C211" s="40">
        <v>4735.8530000000001</v>
      </c>
      <c r="D211" s="38">
        <f t="shared" si="3"/>
        <v>186.45090551181104</v>
      </c>
    </row>
    <row r="212" spans="1:4" ht="28.3" x14ac:dyDescent="0.3">
      <c r="A212" s="4" t="s">
        <v>456</v>
      </c>
      <c r="B212" s="35" t="s">
        <v>550</v>
      </c>
      <c r="C212" s="40">
        <v>3701.7640000000001</v>
      </c>
      <c r="D212" s="38">
        <f t="shared" si="3"/>
        <v>145.73874015748032</v>
      </c>
    </row>
    <row r="213" spans="1:4" x14ac:dyDescent="0.3">
      <c r="A213" s="30" t="s">
        <v>76</v>
      </c>
      <c r="B213" s="31"/>
      <c r="C213" s="39"/>
      <c r="D213" s="37"/>
    </row>
    <row r="214" spans="1:4" x14ac:dyDescent="0.3">
      <c r="A214" s="30" t="s">
        <v>89</v>
      </c>
      <c r="B214" s="31"/>
      <c r="C214" s="39"/>
      <c r="D214" s="37"/>
    </row>
    <row r="215" spans="1:4" x14ac:dyDescent="0.3">
      <c r="A215" s="3" t="s">
        <v>93</v>
      </c>
      <c r="B215" s="32"/>
      <c r="C215" s="37"/>
      <c r="D215" s="37"/>
    </row>
    <row r="216" spans="1:4" x14ac:dyDescent="0.3">
      <c r="A216" s="4" t="s">
        <v>423</v>
      </c>
      <c r="B216" s="5" t="s">
        <v>551</v>
      </c>
      <c r="C216" s="40">
        <v>4196.5039999999999</v>
      </c>
      <c r="D216" s="38">
        <f t="shared" si="3"/>
        <v>165.21669291338583</v>
      </c>
    </row>
    <row r="217" spans="1:4" x14ac:dyDescent="0.3">
      <c r="A217" s="4" t="s">
        <v>424</v>
      </c>
      <c r="B217" s="5" t="s">
        <v>552</v>
      </c>
      <c r="C217" s="40">
        <v>4159.3950000000004</v>
      </c>
      <c r="D217" s="38">
        <f t="shared" si="3"/>
        <v>163.75570866141734</v>
      </c>
    </row>
    <row r="218" spans="1:4" x14ac:dyDescent="0.3">
      <c r="A218" s="4" t="s">
        <v>103</v>
      </c>
      <c r="B218" s="5" t="s">
        <v>277</v>
      </c>
      <c r="C218" s="40">
        <v>5480.683</v>
      </c>
      <c r="D218" s="38">
        <f t="shared" si="3"/>
        <v>215.77492125984253</v>
      </c>
    </row>
    <row r="219" spans="1:4" x14ac:dyDescent="0.3">
      <c r="A219" s="4" t="s">
        <v>104</v>
      </c>
      <c r="B219" s="5" t="s">
        <v>276</v>
      </c>
      <c r="C219" s="40">
        <v>6193.2560000000003</v>
      </c>
      <c r="D219" s="38">
        <f t="shared" ref="D219:D274" si="4">C219/25.4</f>
        <v>243.82897637795278</v>
      </c>
    </row>
    <row r="220" spans="1:4" x14ac:dyDescent="0.3">
      <c r="A220" s="4" t="s">
        <v>100</v>
      </c>
      <c r="B220" s="5" t="s">
        <v>281</v>
      </c>
      <c r="C220" s="40">
        <v>6048.2340000000004</v>
      </c>
      <c r="D220" s="38">
        <f t="shared" si="4"/>
        <v>238.11944881889767</v>
      </c>
    </row>
    <row r="221" spans="1:4" x14ac:dyDescent="0.3">
      <c r="A221" s="4" t="s">
        <v>99</v>
      </c>
      <c r="B221" s="5" t="s">
        <v>280</v>
      </c>
      <c r="C221" s="40">
        <v>5522.1570000000002</v>
      </c>
      <c r="D221" s="38">
        <f t="shared" si="4"/>
        <v>217.40775590551183</v>
      </c>
    </row>
    <row r="222" spans="1:4" x14ac:dyDescent="0.3">
      <c r="A222" s="4" t="s">
        <v>106</v>
      </c>
      <c r="B222" s="5" t="s">
        <v>279</v>
      </c>
      <c r="C222" s="40">
        <v>5596.799</v>
      </c>
      <c r="D222" s="38">
        <f t="shared" si="4"/>
        <v>220.34641732283467</v>
      </c>
    </row>
    <row r="223" spans="1:4" x14ac:dyDescent="0.3">
      <c r="A223" s="4" t="s">
        <v>105</v>
      </c>
      <c r="B223" s="5" t="s">
        <v>278</v>
      </c>
      <c r="C223" s="40">
        <v>6378.5810000000001</v>
      </c>
      <c r="D223" s="38">
        <f t="shared" si="4"/>
        <v>251.12523622047246</v>
      </c>
    </row>
    <row r="224" spans="1:4" x14ac:dyDescent="0.3">
      <c r="A224" s="4" t="s">
        <v>108</v>
      </c>
      <c r="B224" s="5" t="s">
        <v>283</v>
      </c>
      <c r="C224" s="40">
        <v>6078.7370000000001</v>
      </c>
      <c r="D224" s="38">
        <f t="shared" si="4"/>
        <v>239.32035433070868</v>
      </c>
    </row>
    <row r="225" spans="1:4" x14ac:dyDescent="0.3">
      <c r="A225" s="4" t="s">
        <v>107</v>
      </c>
      <c r="B225" s="5" t="s">
        <v>282</v>
      </c>
      <c r="C225" s="40">
        <v>5642.6549999999997</v>
      </c>
      <c r="D225" s="38">
        <f t="shared" si="4"/>
        <v>222.15177165354331</v>
      </c>
    </row>
    <row r="226" spans="1:4" x14ac:dyDescent="0.3">
      <c r="A226" s="30" t="s">
        <v>98</v>
      </c>
      <c r="B226" s="31"/>
      <c r="C226" s="39"/>
      <c r="D226" s="37"/>
    </row>
    <row r="227" spans="1:4" x14ac:dyDescent="0.3">
      <c r="A227" s="4" t="s">
        <v>102</v>
      </c>
      <c r="B227" s="5" t="s">
        <v>273</v>
      </c>
      <c r="C227" s="40">
        <v>5435.9189999999999</v>
      </c>
      <c r="D227" s="38">
        <f t="shared" si="4"/>
        <v>214.01255905511812</v>
      </c>
    </row>
    <row r="228" spans="1:4" x14ac:dyDescent="0.3">
      <c r="A228" s="4" t="s">
        <v>101</v>
      </c>
      <c r="B228" s="5" t="s">
        <v>272</v>
      </c>
      <c r="C228" s="40">
        <v>5919.16</v>
      </c>
      <c r="D228" s="38">
        <f t="shared" si="4"/>
        <v>233.03779527559055</v>
      </c>
    </row>
    <row r="229" spans="1:4" x14ac:dyDescent="0.3">
      <c r="A229" s="4" t="s">
        <v>422</v>
      </c>
      <c r="B229" s="5" t="s">
        <v>275</v>
      </c>
      <c r="C229" s="40">
        <v>3861.5230000000001</v>
      </c>
      <c r="D229" s="38">
        <f t="shared" si="4"/>
        <v>152.02846456692916</v>
      </c>
    </row>
    <row r="230" spans="1:4" x14ac:dyDescent="0.3">
      <c r="A230" s="4" t="s">
        <v>421</v>
      </c>
      <c r="B230" s="5" t="s">
        <v>274</v>
      </c>
      <c r="C230" s="40">
        <v>3763.808</v>
      </c>
      <c r="D230" s="38">
        <f t="shared" si="4"/>
        <v>148.18141732283465</v>
      </c>
    </row>
    <row r="231" spans="1:4" x14ac:dyDescent="0.3">
      <c r="A231" s="30" t="s">
        <v>109</v>
      </c>
      <c r="B231" s="31"/>
      <c r="C231" s="39"/>
      <c r="D231" s="37"/>
    </row>
    <row r="232" spans="1:4" x14ac:dyDescent="0.3">
      <c r="A232" s="4" t="s">
        <v>394</v>
      </c>
      <c r="B232" s="5" t="s">
        <v>566</v>
      </c>
      <c r="C232" s="40">
        <v>3871.5810000000001</v>
      </c>
      <c r="D232" s="38">
        <f t="shared" si="4"/>
        <v>152.42444881889764</v>
      </c>
    </row>
    <row r="233" spans="1:4" x14ac:dyDescent="0.3">
      <c r="A233" s="4" t="s">
        <v>393</v>
      </c>
      <c r="B233" s="5" t="s">
        <v>567</v>
      </c>
      <c r="C233" s="40">
        <v>4532.0259999999998</v>
      </c>
      <c r="D233" s="38">
        <f t="shared" si="4"/>
        <v>178.42622047244095</v>
      </c>
    </row>
    <row r="234" spans="1:4" x14ac:dyDescent="0.3">
      <c r="A234" s="4" t="s">
        <v>396</v>
      </c>
      <c r="B234" s="5" t="s">
        <v>572</v>
      </c>
      <c r="C234" s="40">
        <v>6884.3389999999999</v>
      </c>
      <c r="D234" s="38">
        <f t="shared" si="4"/>
        <v>271.03696850393703</v>
      </c>
    </row>
    <row r="235" spans="1:4" x14ac:dyDescent="0.3">
      <c r="A235" s="4" t="s">
        <v>111</v>
      </c>
      <c r="B235" s="5" t="s">
        <v>573</v>
      </c>
      <c r="C235" s="40">
        <v>6355.2510000000002</v>
      </c>
      <c r="D235" s="38">
        <f t="shared" si="4"/>
        <v>250.20673228346459</v>
      </c>
    </row>
    <row r="236" spans="1:4" x14ac:dyDescent="0.3">
      <c r="A236" s="4" t="s">
        <v>53</v>
      </c>
      <c r="B236" s="5" t="s">
        <v>574</v>
      </c>
      <c r="C236" s="40">
        <v>6072.0479999999998</v>
      </c>
      <c r="D236" s="38">
        <f t="shared" si="4"/>
        <v>239.05700787401574</v>
      </c>
    </row>
    <row r="237" spans="1:4" x14ac:dyDescent="0.3">
      <c r="A237" s="4" t="s">
        <v>395</v>
      </c>
      <c r="B237" s="5" t="s">
        <v>575</v>
      </c>
      <c r="C237" s="40">
        <v>6540.817</v>
      </c>
      <c r="D237" s="38">
        <f t="shared" si="4"/>
        <v>257.51248031496067</v>
      </c>
    </row>
    <row r="238" spans="1:4" x14ac:dyDescent="0.3">
      <c r="A238" s="4" t="s">
        <v>398</v>
      </c>
      <c r="B238" s="5" t="s">
        <v>568</v>
      </c>
      <c r="C238" s="40">
        <v>4288.6559999999999</v>
      </c>
      <c r="D238" s="38">
        <f t="shared" si="4"/>
        <v>168.84472440944882</v>
      </c>
    </row>
    <row r="239" spans="1:4" x14ac:dyDescent="0.3">
      <c r="A239" s="6" t="s">
        <v>397</v>
      </c>
      <c r="B239" s="33" t="s">
        <v>569</v>
      </c>
      <c r="C239" s="38">
        <v>4419.6019999999999</v>
      </c>
      <c r="D239" s="38">
        <f t="shared" si="4"/>
        <v>174.00007874015748</v>
      </c>
    </row>
    <row r="240" spans="1:4" x14ac:dyDescent="0.3">
      <c r="A240" s="4" t="s">
        <v>110</v>
      </c>
      <c r="B240" s="5" t="s">
        <v>576</v>
      </c>
      <c r="C240" s="40">
        <v>6360.3230000000003</v>
      </c>
      <c r="D240" s="38">
        <f t="shared" si="4"/>
        <v>250.40641732283467</v>
      </c>
    </row>
    <row r="241" spans="1:4" x14ac:dyDescent="0.3">
      <c r="A241" s="4" t="s">
        <v>400</v>
      </c>
      <c r="B241" s="5" t="s">
        <v>577</v>
      </c>
      <c r="C241" s="40">
        <v>6837.7079999999996</v>
      </c>
      <c r="D241" s="38">
        <f t="shared" si="4"/>
        <v>269.20110236220472</v>
      </c>
    </row>
    <row r="242" spans="1:4" x14ac:dyDescent="0.3">
      <c r="A242" s="4" t="s">
        <v>112</v>
      </c>
      <c r="B242" s="5" t="s">
        <v>578</v>
      </c>
      <c r="C242" s="40">
        <v>6003.3230000000003</v>
      </c>
      <c r="D242" s="38">
        <f t="shared" si="4"/>
        <v>236.35129921259846</v>
      </c>
    </row>
    <row r="243" spans="1:4" x14ac:dyDescent="0.3">
      <c r="A243" s="4" t="s">
        <v>399</v>
      </c>
      <c r="B243" s="5" t="s">
        <v>579</v>
      </c>
      <c r="C243" s="40">
        <v>6774.7960000000003</v>
      </c>
      <c r="D243" s="38">
        <f t="shared" si="4"/>
        <v>266.72425196850395</v>
      </c>
    </row>
    <row r="244" spans="1:4" x14ac:dyDescent="0.3">
      <c r="A244" s="30" t="s">
        <v>116</v>
      </c>
      <c r="B244" s="31"/>
      <c r="C244" s="39"/>
      <c r="D244" s="37"/>
    </row>
    <row r="245" spans="1:4" x14ac:dyDescent="0.3">
      <c r="A245" s="4" t="s">
        <v>91</v>
      </c>
      <c r="B245" s="5" t="s">
        <v>256</v>
      </c>
      <c r="C245" s="40">
        <v>5725.2039999999997</v>
      </c>
      <c r="D245" s="38">
        <f t="shared" si="4"/>
        <v>225.40173228346458</v>
      </c>
    </row>
    <row r="246" spans="1:4" x14ac:dyDescent="0.3">
      <c r="A246" s="4" t="s">
        <v>60</v>
      </c>
      <c r="B246" s="5" t="s">
        <v>257</v>
      </c>
      <c r="C246" s="40">
        <v>6163.8969999999999</v>
      </c>
      <c r="D246" s="38">
        <f t="shared" si="4"/>
        <v>242.67311023622048</v>
      </c>
    </row>
    <row r="247" spans="1:4" x14ac:dyDescent="0.3">
      <c r="A247" s="4" t="s">
        <v>90</v>
      </c>
      <c r="B247" s="5" t="s">
        <v>258</v>
      </c>
      <c r="C247" s="40">
        <v>5599.1840000000002</v>
      </c>
      <c r="D247" s="38">
        <f t="shared" si="4"/>
        <v>220.44031496062993</v>
      </c>
    </row>
    <row r="248" spans="1:4" x14ac:dyDescent="0.3">
      <c r="A248" s="4" t="s">
        <v>65</v>
      </c>
      <c r="B248" s="5" t="s">
        <v>259</v>
      </c>
      <c r="C248" s="40">
        <v>5829.7449999999999</v>
      </c>
      <c r="D248" s="38">
        <f t="shared" si="4"/>
        <v>229.51751968503939</v>
      </c>
    </row>
    <row r="249" spans="1:4" x14ac:dyDescent="0.3">
      <c r="A249" s="4" t="s">
        <v>92</v>
      </c>
      <c r="B249" s="5" t="s">
        <v>254</v>
      </c>
      <c r="C249" s="40">
        <v>6806.4610000000002</v>
      </c>
      <c r="D249" s="38">
        <f t="shared" si="4"/>
        <v>267.97090551181105</v>
      </c>
    </row>
    <row r="250" spans="1:4" x14ac:dyDescent="0.3">
      <c r="A250" s="4" t="s">
        <v>391</v>
      </c>
      <c r="B250" s="5" t="s">
        <v>255</v>
      </c>
      <c r="C250" s="40">
        <v>7849.6109999999999</v>
      </c>
      <c r="D250" s="38">
        <f t="shared" si="4"/>
        <v>309.03980314960631</v>
      </c>
    </row>
    <row r="251" spans="1:4" x14ac:dyDescent="0.3">
      <c r="A251" s="4" t="s">
        <v>62</v>
      </c>
      <c r="B251" s="5" t="s">
        <v>260</v>
      </c>
      <c r="C251" s="40">
        <v>5967.1120000000001</v>
      </c>
      <c r="D251" s="38">
        <f t="shared" si="4"/>
        <v>234.92566929133861</v>
      </c>
    </row>
    <row r="252" spans="1:4" x14ac:dyDescent="0.3">
      <c r="A252" s="4" t="s">
        <v>64</v>
      </c>
      <c r="B252" s="5" t="s">
        <v>261</v>
      </c>
      <c r="C252" s="40">
        <v>6724.9960000000001</v>
      </c>
      <c r="D252" s="38">
        <f t="shared" si="4"/>
        <v>264.7636220472441</v>
      </c>
    </row>
    <row r="253" spans="1:4" x14ac:dyDescent="0.3">
      <c r="A253" s="4" t="s">
        <v>63</v>
      </c>
      <c r="B253" s="5" t="s">
        <v>262</v>
      </c>
      <c r="C253" s="40">
        <v>5962.7529999999997</v>
      </c>
      <c r="D253" s="38">
        <f t="shared" si="4"/>
        <v>234.75405511811024</v>
      </c>
    </row>
    <row r="254" spans="1:4" x14ac:dyDescent="0.3">
      <c r="A254" s="4" t="s">
        <v>392</v>
      </c>
      <c r="B254" s="5" t="s">
        <v>263</v>
      </c>
      <c r="C254" s="40">
        <v>6871.0209999999997</v>
      </c>
      <c r="D254" s="38">
        <f t="shared" si="4"/>
        <v>270.51263779527562</v>
      </c>
    </row>
    <row r="255" spans="1:4" x14ac:dyDescent="0.3">
      <c r="A255" s="4" t="s">
        <v>87</v>
      </c>
      <c r="B255" s="5" t="s">
        <v>222</v>
      </c>
      <c r="C255" s="40">
        <v>6622.6589999999997</v>
      </c>
      <c r="D255" s="38">
        <f t="shared" si="4"/>
        <v>260.7346062992126</v>
      </c>
    </row>
    <row r="256" spans="1:4" x14ac:dyDescent="0.3">
      <c r="A256" s="4" t="s">
        <v>61</v>
      </c>
      <c r="B256" s="5" t="s">
        <v>223</v>
      </c>
      <c r="C256" s="40">
        <v>6323.4369999999999</v>
      </c>
      <c r="D256" s="38">
        <f t="shared" si="4"/>
        <v>248.95421259842522</v>
      </c>
    </row>
    <row r="257" spans="1:4" x14ac:dyDescent="0.3">
      <c r="A257" s="4" t="s">
        <v>83</v>
      </c>
      <c r="B257" s="5" t="s">
        <v>224</v>
      </c>
      <c r="C257" s="40">
        <v>6915.6710000000003</v>
      </c>
      <c r="D257" s="38">
        <f t="shared" si="4"/>
        <v>272.27051181102365</v>
      </c>
    </row>
    <row r="258" spans="1:4" x14ac:dyDescent="0.3">
      <c r="A258" s="6" t="s">
        <v>88</v>
      </c>
      <c r="B258" s="33" t="s">
        <v>225</v>
      </c>
      <c r="C258" s="38">
        <v>6087.2870000000003</v>
      </c>
      <c r="D258" s="38">
        <f t="shared" si="4"/>
        <v>239.65696850393704</v>
      </c>
    </row>
    <row r="259" spans="1:4" x14ac:dyDescent="0.3">
      <c r="A259" s="4" t="s">
        <v>371</v>
      </c>
      <c r="B259" s="5" t="s">
        <v>220</v>
      </c>
      <c r="C259" s="40">
        <v>6881.7219999999998</v>
      </c>
      <c r="D259" s="38">
        <f t="shared" si="4"/>
        <v>270.93393700787402</v>
      </c>
    </row>
    <row r="260" spans="1:4" x14ac:dyDescent="0.3">
      <c r="A260" s="4" t="s">
        <v>86</v>
      </c>
      <c r="B260" s="5" t="s">
        <v>221</v>
      </c>
      <c r="C260" s="40">
        <v>6521.2190000000001</v>
      </c>
      <c r="D260" s="38">
        <f t="shared" si="4"/>
        <v>256.74090551181104</v>
      </c>
    </row>
    <row r="261" spans="1:4" x14ac:dyDescent="0.3">
      <c r="A261" s="4" t="s">
        <v>82</v>
      </c>
      <c r="B261" s="5" t="s">
        <v>226</v>
      </c>
      <c r="C261" s="40">
        <v>6959.9719999999998</v>
      </c>
      <c r="D261" s="38">
        <f t="shared" si="4"/>
        <v>274.01464566929133</v>
      </c>
    </row>
    <row r="262" spans="1:4" x14ac:dyDescent="0.3">
      <c r="A262" s="4" t="s">
        <v>84</v>
      </c>
      <c r="B262" s="5" t="s">
        <v>227</v>
      </c>
      <c r="C262" s="40">
        <v>6638.808</v>
      </c>
      <c r="D262" s="38">
        <f t="shared" si="4"/>
        <v>261.37039370078742</v>
      </c>
    </row>
    <row r="263" spans="1:4" x14ac:dyDescent="0.3">
      <c r="A263" s="4" t="s">
        <v>372</v>
      </c>
      <c r="B263" s="5" t="s">
        <v>228</v>
      </c>
      <c r="C263" s="40">
        <v>7286.2330000000002</v>
      </c>
      <c r="D263" s="38">
        <f t="shared" si="4"/>
        <v>286.8595669291339</v>
      </c>
    </row>
    <row r="264" spans="1:4" x14ac:dyDescent="0.3">
      <c r="A264" s="4" t="s">
        <v>85</v>
      </c>
      <c r="B264" s="5" t="s">
        <v>229</v>
      </c>
      <c r="C264" s="40">
        <v>6804.9530000000004</v>
      </c>
      <c r="D264" s="38">
        <f t="shared" si="4"/>
        <v>267.91153543307092</v>
      </c>
    </row>
    <row r="265" spans="1:4" x14ac:dyDescent="0.3">
      <c r="A265" s="30" t="s">
        <v>121</v>
      </c>
      <c r="B265" s="31"/>
      <c r="C265" s="39"/>
      <c r="D265" s="37"/>
    </row>
    <row r="266" spans="1:4" x14ac:dyDescent="0.3">
      <c r="A266" s="4" t="s">
        <v>55</v>
      </c>
      <c r="B266" s="5" t="s">
        <v>232</v>
      </c>
      <c r="C266" s="40">
        <v>9584.027</v>
      </c>
      <c r="D266" s="38">
        <f t="shared" si="4"/>
        <v>377.32389763779531</v>
      </c>
    </row>
    <row r="267" spans="1:4" x14ac:dyDescent="0.3">
      <c r="A267" s="4" t="s">
        <v>375</v>
      </c>
      <c r="B267" s="5" t="s">
        <v>233</v>
      </c>
      <c r="C267" s="40">
        <v>10043.825999999999</v>
      </c>
      <c r="D267" s="38">
        <f t="shared" si="4"/>
        <v>395.42622047244095</v>
      </c>
    </row>
    <row r="268" spans="1:4" x14ac:dyDescent="0.3">
      <c r="A268" s="4" t="s">
        <v>376</v>
      </c>
      <c r="B268" s="5" t="s">
        <v>234</v>
      </c>
      <c r="C268" s="40">
        <v>7957.5309999999999</v>
      </c>
      <c r="D268" s="38">
        <f t="shared" si="4"/>
        <v>313.28862204724413</v>
      </c>
    </row>
    <row r="269" spans="1:4" x14ac:dyDescent="0.3">
      <c r="A269" s="4" t="s">
        <v>377</v>
      </c>
      <c r="B269" s="5" t="s">
        <v>235</v>
      </c>
      <c r="C269" s="40">
        <v>8432.509</v>
      </c>
      <c r="D269" s="38">
        <f t="shared" si="4"/>
        <v>331.98854330708662</v>
      </c>
    </row>
    <row r="270" spans="1:4" x14ac:dyDescent="0.3">
      <c r="A270" s="4" t="s">
        <v>373</v>
      </c>
      <c r="B270" s="5" t="s">
        <v>230</v>
      </c>
      <c r="C270" s="40">
        <v>7488.6059999999998</v>
      </c>
      <c r="D270" s="38">
        <f t="shared" si="4"/>
        <v>294.82700787401575</v>
      </c>
    </row>
    <row r="271" spans="1:4" x14ac:dyDescent="0.3">
      <c r="A271" s="4" t="s">
        <v>374</v>
      </c>
      <c r="B271" s="5" t="s">
        <v>231</v>
      </c>
      <c r="C271" s="40">
        <v>6988.6409999999996</v>
      </c>
      <c r="D271" s="38">
        <f t="shared" si="4"/>
        <v>275.14334645669294</v>
      </c>
    </row>
    <row r="272" spans="1:4" x14ac:dyDescent="0.3">
      <c r="A272" s="6" t="s">
        <v>56</v>
      </c>
      <c r="B272" s="33" t="s">
        <v>236</v>
      </c>
      <c r="C272" s="38">
        <v>8614.9660000000003</v>
      </c>
      <c r="D272" s="38">
        <f t="shared" si="4"/>
        <v>339.17188976377957</v>
      </c>
    </row>
    <row r="273" spans="1:4" x14ac:dyDescent="0.3">
      <c r="A273" s="4" t="s">
        <v>378</v>
      </c>
      <c r="B273" s="5" t="s">
        <v>237</v>
      </c>
      <c r="C273" s="40">
        <v>9346.65</v>
      </c>
      <c r="D273" s="38">
        <f t="shared" si="4"/>
        <v>367.97834645669292</v>
      </c>
    </row>
    <row r="274" spans="1:4" x14ac:dyDescent="0.3">
      <c r="A274" s="4" t="s">
        <v>379</v>
      </c>
      <c r="B274" s="5" t="s">
        <v>238</v>
      </c>
      <c r="C274" s="40">
        <v>9749.5720000000001</v>
      </c>
      <c r="D274" s="38">
        <f t="shared" si="4"/>
        <v>383.84141732283467</v>
      </c>
    </row>
    <row r="275" spans="1:4" x14ac:dyDescent="0.3">
      <c r="A275" s="4" t="s">
        <v>380</v>
      </c>
      <c r="B275" s="5" t="s">
        <v>239</v>
      </c>
      <c r="C275" s="40">
        <v>10270.665000000001</v>
      </c>
      <c r="D275" s="38">
        <f t="shared" ref="D275:D300" si="5">C275/25.4</f>
        <v>404.35688976377958</v>
      </c>
    </row>
    <row r="276" spans="1:4" x14ac:dyDescent="0.3">
      <c r="A276" s="4" t="s">
        <v>381</v>
      </c>
      <c r="B276" s="5" t="s">
        <v>240</v>
      </c>
      <c r="C276" s="40">
        <v>7108.116</v>
      </c>
      <c r="D276" s="38">
        <f t="shared" si="5"/>
        <v>279.84708661417324</v>
      </c>
    </row>
    <row r="277" spans="1:4" x14ac:dyDescent="0.3">
      <c r="A277" s="4" t="s">
        <v>382</v>
      </c>
      <c r="B277" s="5" t="s">
        <v>241</v>
      </c>
      <c r="C277" s="40">
        <v>7008.1019999999999</v>
      </c>
      <c r="D277" s="38">
        <f t="shared" si="5"/>
        <v>275.90952755905511</v>
      </c>
    </row>
    <row r="278" spans="1:4" x14ac:dyDescent="0.3">
      <c r="A278" s="4" t="s">
        <v>385</v>
      </c>
      <c r="B278" s="5" t="s">
        <v>244</v>
      </c>
      <c r="C278" s="40">
        <v>8750.527</v>
      </c>
      <c r="D278" s="38">
        <f t="shared" si="5"/>
        <v>344.50893700787401</v>
      </c>
    </row>
    <row r="279" spans="1:4" x14ac:dyDescent="0.3">
      <c r="A279" s="4" t="s">
        <v>118</v>
      </c>
      <c r="B279" s="5" t="s">
        <v>245</v>
      </c>
      <c r="C279" s="40">
        <v>8230.6270000000004</v>
      </c>
      <c r="D279" s="38">
        <f t="shared" si="5"/>
        <v>324.04043307086619</v>
      </c>
    </row>
    <row r="280" spans="1:4" x14ac:dyDescent="0.3">
      <c r="A280" s="4" t="s">
        <v>386</v>
      </c>
      <c r="B280" s="5" t="s">
        <v>246</v>
      </c>
      <c r="C280" s="40">
        <v>7049.6270000000004</v>
      </c>
      <c r="D280" s="38">
        <f t="shared" si="5"/>
        <v>277.5443700787402</v>
      </c>
    </row>
    <row r="281" spans="1:4" x14ac:dyDescent="0.3">
      <c r="A281" s="4" t="s">
        <v>114</v>
      </c>
      <c r="B281" s="5" t="s">
        <v>247</v>
      </c>
      <c r="C281" s="40">
        <v>6529.5</v>
      </c>
      <c r="D281" s="38">
        <f t="shared" si="5"/>
        <v>257.06692913385831</v>
      </c>
    </row>
    <row r="282" spans="1:4" x14ac:dyDescent="0.3">
      <c r="A282" s="4" t="s">
        <v>383</v>
      </c>
      <c r="B282" s="5" t="s">
        <v>242</v>
      </c>
      <c r="C282" s="40">
        <v>5514.4719999999998</v>
      </c>
      <c r="D282" s="38">
        <f t="shared" si="5"/>
        <v>217.1051968503937</v>
      </c>
    </row>
    <row r="283" spans="1:4" x14ac:dyDescent="0.3">
      <c r="A283" s="4" t="s">
        <v>384</v>
      </c>
      <c r="B283" s="5" t="s">
        <v>243</v>
      </c>
      <c r="C283" s="40">
        <v>5022.518</v>
      </c>
      <c r="D283" s="38">
        <f t="shared" si="5"/>
        <v>197.73692913385827</v>
      </c>
    </row>
    <row r="284" spans="1:4" x14ac:dyDescent="0.3">
      <c r="A284" s="6" t="s">
        <v>387</v>
      </c>
      <c r="B284" s="33" t="s">
        <v>248</v>
      </c>
      <c r="C284" s="38">
        <v>8239.4850000000006</v>
      </c>
      <c r="D284" s="38">
        <f t="shared" si="5"/>
        <v>324.38917322834652</v>
      </c>
    </row>
    <row r="285" spans="1:4" x14ac:dyDescent="0.3">
      <c r="A285" s="4" t="s">
        <v>115</v>
      </c>
      <c r="B285" s="5" t="s">
        <v>249</v>
      </c>
      <c r="C285" s="40">
        <v>7656.1059999999998</v>
      </c>
      <c r="D285" s="38">
        <f t="shared" si="5"/>
        <v>301.42149606299216</v>
      </c>
    </row>
    <row r="286" spans="1:4" x14ac:dyDescent="0.3">
      <c r="A286" s="4" t="s">
        <v>388</v>
      </c>
      <c r="B286" s="5" t="s">
        <v>250</v>
      </c>
      <c r="C286" s="40">
        <v>8287.5010000000002</v>
      </c>
      <c r="D286" s="38">
        <f t="shared" si="5"/>
        <v>326.27956692913386</v>
      </c>
    </row>
    <row r="287" spans="1:4" x14ac:dyDescent="0.3">
      <c r="A287" s="4" t="s">
        <v>113</v>
      </c>
      <c r="B287" s="5" t="s">
        <v>251</v>
      </c>
      <c r="C287" s="40">
        <v>7749.5780000000004</v>
      </c>
      <c r="D287" s="38">
        <f t="shared" si="5"/>
        <v>305.10149606299217</v>
      </c>
    </row>
    <row r="288" spans="1:4" x14ac:dyDescent="0.3">
      <c r="A288" s="4" t="s">
        <v>389</v>
      </c>
      <c r="B288" s="5" t="s">
        <v>252</v>
      </c>
      <c r="C288" s="40">
        <v>5125.03</v>
      </c>
      <c r="D288" s="38">
        <f t="shared" si="5"/>
        <v>201.77283464566929</v>
      </c>
    </row>
    <row r="289" spans="1:4" x14ac:dyDescent="0.3">
      <c r="A289" s="4" t="s">
        <v>390</v>
      </c>
      <c r="B289" s="5" t="s">
        <v>253</v>
      </c>
      <c r="C289" s="40">
        <v>4530.4769999999999</v>
      </c>
      <c r="D289" s="38">
        <f t="shared" si="5"/>
        <v>178.36523622047244</v>
      </c>
    </row>
    <row r="290" spans="1:4" x14ac:dyDescent="0.3">
      <c r="A290" s="30" t="s">
        <v>124</v>
      </c>
      <c r="B290" s="31"/>
      <c r="C290" s="39"/>
      <c r="D290" s="37"/>
    </row>
    <row r="291" spans="1:4" x14ac:dyDescent="0.3">
      <c r="A291" s="4" t="s">
        <v>310</v>
      </c>
      <c r="B291" s="5" t="s">
        <v>140</v>
      </c>
      <c r="C291" s="40">
        <v>5380.0360000000001</v>
      </c>
      <c r="D291" s="38">
        <f t="shared" si="5"/>
        <v>211.8124409448819</v>
      </c>
    </row>
    <row r="292" spans="1:4" x14ac:dyDescent="0.3">
      <c r="A292" s="4" t="s">
        <v>309</v>
      </c>
      <c r="B292" s="5" t="s">
        <v>139</v>
      </c>
      <c r="C292" s="40">
        <v>5886.8459999999995</v>
      </c>
      <c r="D292" s="38">
        <f t="shared" si="5"/>
        <v>231.76559055118111</v>
      </c>
    </row>
    <row r="293" spans="1:4" x14ac:dyDescent="0.3">
      <c r="A293" s="4" t="s">
        <v>306</v>
      </c>
      <c r="B293" s="5" t="s">
        <v>132</v>
      </c>
      <c r="C293" s="40">
        <v>7244.2139999999999</v>
      </c>
      <c r="D293" s="38">
        <f t="shared" si="5"/>
        <v>285.2052755905512</v>
      </c>
    </row>
    <row r="294" spans="1:4" x14ac:dyDescent="0.3">
      <c r="A294" s="4" t="s">
        <v>79</v>
      </c>
      <c r="B294" s="5" t="s">
        <v>131</v>
      </c>
      <c r="C294" s="40">
        <v>7792.01</v>
      </c>
      <c r="D294" s="38">
        <f t="shared" si="5"/>
        <v>306.77204724409449</v>
      </c>
    </row>
    <row r="295" spans="1:4" x14ac:dyDescent="0.3">
      <c r="A295" s="4" t="s">
        <v>78</v>
      </c>
      <c r="B295" s="5" t="s">
        <v>134</v>
      </c>
      <c r="C295" s="40">
        <v>8416.1659999999993</v>
      </c>
      <c r="D295" s="38">
        <f t="shared" si="5"/>
        <v>331.34511811023623</v>
      </c>
    </row>
    <row r="296" spans="1:4" x14ac:dyDescent="0.3">
      <c r="A296" s="4" t="s">
        <v>307</v>
      </c>
      <c r="B296" s="5" t="s">
        <v>133</v>
      </c>
      <c r="C296" s="40">
        <v>8413.4230000000007</v>
      </c>
      <c r="D296" s="38">
        <f t="shared" si="5"/>
        <v>331.23712598425203</v>
      </c>
    </row>
    <row r="297" spans="1:4" x14ac:dyDescent="0.3">
      <c r="A297" s="4" t="s">
        <v>77</v>
      </c>
      <c r="B297" s="5" t="s">
        <v>136</v>
      </c>
      <c r="C297" s="40">
        <v>9538.1949999999997</v>
      </c>
      <c r="D297" s="38">
        <f t="shared" si="5"/>
        <v>375.51948818897637</v>
      </c>
    </row>
    <row r="298" spans="1:4" x14ac:dyDescent="0.3">
      <c r="A298" s="4" t="s">
        <v>308</v>
      </c>
      <c r="B298" s="5" t="s">
        <v>135</v>
      </c>
      <c r="C298" s="40">
        <v>10028.216</v>
      </c>
      <c r="D298" s="38">
        <f t="shared" si="5"/>
        <v>394.8116535433071</v>
      </c>
    </row>
    <row r="299" spans="1:4" x14ac:dyDescent="0.3">
      <c r="A299" s="4" t="s">
        <v>80</v>
      </c>
      <c r="B299" s="5" t="s">
        <v>138</v>
      </c>
      <c r="C299" s="40">
        <v>7966.3590000000004</v>
      </c>
      <c r="D299" s="38">
        <f t="shared" si="5"/>
        <v>313.63618110236223</v>
      </c>
    </row>
    <row r="300" spans="1:4" x14ac:dyDescent="0.3">
      <c r="A300" s="4" t="s">
        <v>81</v>
      </c>
      <c r="B300" s="5" t="s">
        <v>137</v>
      </c>
      <c r="C300" s="40">
        <v>7508.625</v>
      </c>
      <c r="D300" s="38">
        <f t="shared" si="5"/>
        <v>295.61515748031496</v>
      </c>
    </row>
    <row r="301" spans="1:4" x14ac:dyDescent="0.3">
      <c r="A301" s="30" t="s">
        <v>125</v>
      </c>
      <c r="B301" s="31"/>
      <c r="C301" s="39"/>
      <c r="D301" s="37"/>
    </row>
    <row r="302" spans="1:4" x14ac:dyDescent="0.3">
      <c r="A302" s="30" t="s">
        <v>126</v>
      </c>
      <c r="B302" s="31"/>
      <c r="C302" s="39"/>
      <c r="D302" s="39"/>
    </row>
    <row r="303" spans="1:4" x14ac:dyDescent="0.3">
      <c r="A303" s="30" t="s">
        <v>127</v>
      </c>
      <c r="B303" s="31"/>
      <c r="C303" s="39"/>
      <c r="D303" s="39"/>
    </row>
    <row r="304" spans="1:4" x14ac:dyDescent="0.3">
      <c r="A304" s="30" t="s">
        <v>128</v>
      </c>
      <c r="B304" s="31"/>
      <c r="C304" s="39"/>
      <c r="D304" s="39"/>
    </row>
    <row r="305" spans="1:4" x14ac:dyDescent="0.3">
      <c r="A305" s="3" t="s">
        <v>553</v>
      </c>
      <c r="B305" s="32"/>
      <c r="C305" s="37"/>
      <c r="D305" s="37"/>
    </row>
    <row r="306" spans="1:4" x14ac:dyDescent="0.3">
      <c r="A306" s="4"/>
      <c r="B306" s="5"/>
      <c r="C306" s="40" t="s">
        <v>554</v>
      </c>
      <c r="D306" s="40"/>
    </row>
    <row r="307" spans="1:4" x14ac:dyDescent="0.3">
      <c r="A307" s="4"/>
      <c r="B307" s="5"/>
      <c r="C307" s="40" t="s">
        <v>554</v>
      </c>
      <c r="D307" s="40"/>
    </row>
    <row r="308" spans="1:4" x14ac:dyDescent="0.3">
      <c r="A308" s="4"/>
      <c r="B308" s="5"/>
      <c r="C308" s="40" t="s">
        <v>554</v>
      </c>
      <c r="D308" s="40"/>
    </row>
    <row r="309" spans="1:4" x14ac:dyDescent="0.3">
      <c r="A309" s="4"/>
      <c r="B309" s="5"/>
      <c r="C309" s="40" t="s">
        <v>554</v>
      </c>
      <c r="D309" s="40"/>
    </row>
    <row r="310" spans="1:4" x14ac:dyDescent="0.3">
      <c r="A310" s="4"/>
      <c r="B310" s="5"/>
      <c r="C310" s="40" t="s">
        <v>554</v>
      </c>
      <c r="D310" s="40"/>
    </row>
    <row r="311" spans="1:4" x14ac:dyDescent="0.3">
      <c r="A311" s="4"/>
      <c r="B311" s="5"/>
      <c r="C311" s="40" t="s">
        <v>554</v>
      </c>
      <c r="D311" s="40"/>
    </row>
    <row r="312" spans="1:4" x14ac:dyDescent="0.3">
      <c r="A312" s="4"/>
      <c r="B312" s="5"/>
      <c r="C312" s="40" t="s">
        <v>554</v>
      </c>
      <c r="D312" s="40"/>
    </row>
    <row r="313" spans="1:4" x14ac:dyDescent="0.3">
      <c r="A313" s="4"/>
      <c r="B313" s="5"/>
      <c r="C313" s="40" t="s">
        <v>554</v>
      </c>
      <c r="D313" s="40"/>
    </row>
    <row r="314" spans="1:4" x14ac:dyDescent="0.3">
      <c r="A314" s="4"/>
      <c r="B314" s="5"/>
      <c r="C314" s="40" t="s">
        <v>554</v>
      </c>
      <c r="D314" s="40"/>
    </row>
    <row r="315" spans="1:4" x14ac:dyDescent="0.3">
      <c r="A315" s="4"/>
      <c r="B315" s="5"/>
      <c r="C315" s="40" t="s">
        <v>554</v>
      </c>
      <c r="D315" s="40"/>
    </row>
    <row r="316" spans="1:4" x14ac:dyDescent="0.3">
      <c r="A316" s="4"/>
      <c r="B316" s="5"/>
      <c r="C316" s="40" t="s">
        <v>554</v>
      </c>
      <c r="D316" s="40"/>
    </row>
    <row r="317" spans="1:4" x14ac:dyDescent="0.3">
      <c r="A317" s="4"/>
      <c r="B317" s="5"/>
      <c r="C317" s="40" t="s">
        <v>554</v>
      </c>
      <c r="D317" s="40"/>
    </row>
    <row r="318" spans="1:4" x14ac:dyDescent="0.3">
      <c r="A318" s="4"/>
      <c r="B318" s="5"/>
      <c r="C318" s="40" t="s">
        <v>554</v>
      </c>
      <c r="D318" s="40"/>
    </row>
    <row r="319" spans="1:4" x14ac:dyDescent="0.3">
      <c r="A319" s="4"/>
      <c r="B319" s="5"/>
      <c r="C319" s="40" t="s">
        <v>554</v>
      </c>
      <c r="D319" s="40"/>
    </row>
    <row r="320" spans="1:4" x14ac:dyDescent="0.3">
      <c r="A320" s="4"/>
      <c r="B320" s="5"/>
      <c r="C320" s="40" t="s">
        <v>554</v>
      </c>
      <c r="D320" s="40"/>
    </row>
    <row r="321" spans="1:4" x14ac:dyDescent="0.3">
      <c r="A321" s="4"/>
      <c r="B321" s="5"/>
      <c r="C321" s="40" t="s">
        <v>554</v>
      </c>
      <c r="D321" s="40"/>
    </row>
    <row r="322" spans="1:4" x14ac:dyDescent="0.3">
      <c r="A322" s="4"/>
      <c r="B322" s="5"/>
      <c r="C322" s="40" t="s">
        <v>554</v>
      </c>
      <c r="D322" s="40"/>
    </row>
    <row r="323" spans="1:4" x14ac:dyDescent="0.3">
      <c r="A323" s="4"/>
      <c r="B323" s="5"/>
      <c r="C323" s="40" t="s">
        <v>554</v>
      </c>
      <c r="D323" s="40"/>
    </row>
    <row r="324" spans="1:4" x14ac:dyDescent="0.3">
      <c r="A324" s="4"/>
      <c r="B324" s="5"/>
      <c r="C324" s="40" t="s">
        <v>554</v>
      </c>
      <c r="D324" s="40"/>
    </row>
    <row r="325" spans="1:4" x14ac:dyDescent="0.3">
      <c r="A325" s="4"/>
      <c r="B325" s="5"/>
      <c r="C325" s="40" t="s">
        <v>554</v>
      </c>
      <c r="D325" s="40"/>
    </row>
    <row r="326" spans="1:4" x14ac:dyDescent="0.3">
      <c r="A326" s="6"/>
      <c r="B326" s="33"/>
      <c r="C326" s="38" t="s">
        <v>554</v>
      </c>
      <c r="D326" s="38"/>
    </row>
    <row r="327" spans="1:4" x14ac:dyDescent="0.3">
      <c r="A327" s="4"/>
      <c r="B327" s="5"/>
      <c r="C327" s="40" t="s">
        <v>554</v>
      </c>
      <c r="D327" s="40"/>
    </row>
    <row r="328" spans="1:4" x14ac:dyDescent="0.3">
      <c r="A328" s="4"/>
      <c r="B328" s="5"/>
      <c r="C328" s="40" t="s">
        <v>554</v>
      </c>
      <c r="D328" s="40"/>
    </row>
    <row r="329" spans="1:4" x14ac:dyDescent="0.3">
      <c r="A329" s="4"/>
      <c r="B329" s="5"/>
      <c r="C329" s="40" t="s">
        <v>554</v>
      </c>
      <c r="D329" s="40"/>
    </row>
    <row r="330" spans="1:4" x14ac:dyDescent="0.3">
      <c r="A330" s="4"/>
      <c r="B330" s="5"/>
      <c r="C330" s="40" t="s">
        <v>554</v>
      </c>
      <c r="D330" s="40"/>
    </row>
    <row r="331" spans="1:4" x14ac:dyDescent="0.3">
      <c r="A331" s="6"/>
      <c r="B331" s="33"/>
      <c r="C331" s="38" t="s">
        <v>554</v>
      </c>
      <c r="D331" s="38"/>
    </row>
    <row r="332" spans="1:4" x14ac:dyDescent="0.3">
      <c r="A332" s="6"/>
      <c r="B332" s="33"/>
      <c r="C332" s="38" t="s">
        <v>554</v>
      </c>
      <c r="D332" s="38"/>
    </row>
    <row r="333" spans="1:4" x14ac:dyDescent="0.3">
      <c r="A333" s="6"/>
      <c r="B333" s="33"/>
      <c r="C333" s="38" t="s">
        <v>554</v>
      </c>
      <c r="D333" s="38"/>
    </row>
    <row r="334" spans="1:4" x14ac:dyDescent="0.3">
      <c r="A334" s="6"/>
      <c r="B334" s="33"/>
      <c r="C334" s="38" t="s">
        <v>554</v>
      </c>
      <c r="D334" s="38"/>
    </row>
  </sheetData>
  <sheetProtection algorithmName="SHA-512" hashValue="R8yVMweJq7cExOQW7G1N2riV8fE54iLM1a2/h7dNdhE36hKz3v1iCLkOG+0GtsKV8kTDZ3/SPdAi8fSaPlZxyw==" saltValue="/u/rzUUzY2l2sZtuEv8ZsQ==" spinCount="100000" sheet="1" autoFilter="0"/>
  <autoFilter ref="A2:D334" xr:uid="{00000000-0009-0000-0000-000003000000}"/>
  <mergeCells count="4">
    <mergeCell ref="A1:D1"/>
    <mergeCell ref="C2:D2"/>
    <mergeCell ref="A2:A3"/>
    <mergeCell ref="B2:B3"/>
  </mergeCells>
  <phoneticPr fontId="3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00.CoverPage</vt:lpstr>
      <vt:lpstr>01.Statement</vt:lpstr>
      <vt:lpstr>02.Revision History</vt:lpstr>
      <vt:lpstr>03.RK3576 Package Pin Length</vt:lpstr>
      <vt:lpstr>'00.CoverPage'!Print_Area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松伟 黄</cp:lastModifiedBy>
  <cp:revision>1</cp:revision>
  <cp:lastPrinted>2010-05-27T23:10:00Z</cp:lastPrinted>
  <dcterms:created xsi:type="dcterms:W3CDTF">2007-07-23T12:47:00Z</dcterms:created>
  <dcterms:modified xsi:type="dcterms:W3CDTF">2024-03-22T08:21:35Z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2052-11.1.0.11636</vt:lpwstr>
  </property>
  <property fmtid="{D5CDD505-2E9C-101B-9397-08002B2CF9AE}" pid="23" name="KSOReadingLayout">
    <vt:bool>true</vt:bool>
  </property>
  <property fmtid="{D5CDD505-2E9C-101B-9397-08002B2CF9AE}" pid="24" name="ICV">
    <vt:lpwstr>A070C5B82D274770AA9D716C24702D39</vt:lpwstr>
  </property>
</Properties>
</file>